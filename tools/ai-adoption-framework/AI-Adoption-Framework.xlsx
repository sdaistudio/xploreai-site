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shboard" sheetId="2" state="visible" r:id="rId2"/>
    <sheet xmlns:r="http://schemas.openxmlformats.org/officeDocument/2006/relationships" name="Simulator" sheetId="3" state="visible" r:id="rId3"/>
    <sheet xmlns:r="http://schemas.openxmlformats.org/officeDocument/2006/relationships" name="Pillars" sheetId="4" state="visible" r:id="rId4"/>
    <sheet xmlns:r="http://schemas.openxmlformats.org/officeDocument/2006/relationships" name="Decision gate" sheetId="5" state="visible" r:id="rId5"/>
    <sheet xmlns:r="http://schemas.openxmlformats.org/officeDocument/2006/relationships" name="Financials" sheetId="6" state="visible" r:id="rId6"/>
    <sheet xmlns:r="http://schemas.openxmlformats.org/officeDocument/2006/relationships" name="Use cases" sheetId="7" state="visible" r:id="rId7"/>
    <sheet xmlns:r="http://schemas.openxmlformats.org/officeDocument/2006/relationships" name="Gen-Ai Assessment" sheetId="8" state="visible" r:id="rId8"/>
    <sheet xmlns:r="http://schemas.openxmlformats.org/officeDocument/2006/relationships" name="GenAI ROI Calculation Framework" sheetId="9" state="visible" r:id="rId9"/>
    <sheet xmlns:r="http://schemas.openxmlformats.org/officeDocument/2006/relationships" name="Partnership Negotiation Guide" sheetId="10" state="visible" r:id="rId10"/>
    <sheet xmlns:r="http://schemas.openxmlformats.org/officeDocument/2006/relationships" name="GenAI Ethical Decision" sheetId="11" state="visible" r:id="rId11"/>
    <sheet xmlns:r="http://schemas.openxmlformats.org/officeDocument/2006/relationships" name="Change Management Toolkit" sheetId="12" state="visible" r:id="rId12"/>
    <sheet xmlns:r="http://schemas.openxmlformats.org/officeDocument/2006/relationships" name="Implementation Roadmap" sheetId="13" state="visible" r:id="rId13"/>
  </sheets>
  <definedNames/>
  <calcPr calcId="124519" fullCalcOnLoad="1"/>
</workbook>
</file>

<file path=xl/styles.xml><?xml version="1.0" encoding="utf-8"?>
<styleSheet xmlns="http://schemas.openxmlformats.org/spreadsheetml/2006/main">
  <numFmts count="2">
    <numFmt numFmtId="164" formatCode="&quot;$&quot;#,##0"/>
    <numFmt numFmtId="165" formatCode="0.0"/>
  </numFmts>
  <fonts count="14">
    <font>
      <name val="Calibri"/>
      <family val="2"/>
      <color theme="1"/>
      <sz val="11"/>
      <scheme val="minor"/>
    </font>
    <font>
      <name val="Calibri"/>
      <b val="1"/>
      <color rgb="004A4238"/>
      <sz val="20"/>
    </font>
    <font>
      <name val="Calibri"/>
      <b val="1"/>
      <color rgb="004A4238"/>
      <sz val="12"/>
    </font>
    <font>
      <name val="Calibri"/>
      <b val="1"/>
      <color rgb="00E2571B"/>
      <sz val="9"/>
    </font>
    <font>
      <name val="Calibri"/>
      <color rgb="006E665C"/>
      <sz val="10"/>
    </font>
    <font>
      <name val="Calibri"/>
      <b val="1"/>
      <color rgb="00F5EFE4"/>
      <sz val="12"/>
    </font>
    <font>
      <name val="Calibri"/>
      <b val="1"/>
      <color rgb="00F5EFE4"/>
      <sz val="10"/>
    </font>
    <font>
      <name val="Calibri"/>
      <color rgb="004A4238"/>
      <sz val="11"/>
    </font>
    <font>
      <name val="Calibri"/>
      <b val="1"/>
      <color rgb="004A4238"/>
      <sz val="11"/>
    </font>
    <font>
      <name val="Calibri"/>
      <b val="1"/>
      <color rgb="00F5EFE4"/>
      <sz val="11"/>
    </font>
    <font>
      <name val="Calibri"/>
      <b val="1"/>
      <color rgb="00E2571B"/>
      <sz val="22"/>
    </font>
    <font>
      <name val="Calibri"/>
      <b val="1"/>
      <color rgb="00E2571B"/>
      <sz val="18"/>
    </font>
    <font>
      <name val="Calibri"/>
      <b val="1"/>
      <color rgb="006E665C"/>
      <sz val="10"/>
    </font>
    <font>
      <name val="Calibri"/>
      <color rgb="004A4238"/>
      <sz val="10"/>
    </font>
  </fonts>
  <fills count="8">
    <fill>
      <patternFill/>
    </fill>
    <fill>
      <patternFill patternType="gray125"/>
    </fill>
    <fill>
      <patternFill patternType="solid">
        <fgColor rgb="002B2620"/>
      </patternFill>
    </fill>
    <fill>
      <patternFill patternType="solid">
        <fgColor rgb="00FFFDF8"/>
      </patternFill>
    </fill>
    <fill>
      <patternFill patternType="solid">
        <fgColor rgb="00FBE9DF"/>
      </patternFill>
    </fill>
    <fill>
      <patternFill patternType="solid">
        <fgColor rgb="00F5EFE4"/>
      </patternFill>
    </fill>
    <fill>
      <patternFill patternType="solid">
        <fgColor rgb="004A4238"/>
      </patternFill>
    </fill>
    <fill>
      <patternFill patternType="solid">
        <fgColor rgb="00FAF6EE"/>
      </patternFill>
    </fill>
  </fills>
  <borders count="4">
    <border>
      <left/>
      <right/>
      <top/>
      <bottom/>
      <diagonal/>
    </border>
    <border/>
    <border>
      <left style="thin">
        <color rgb="00D9CFBE"/>
      </left>
      <right style="thin">
        <color rgb="00D9CFBE"/>
      </right>
      <top style="thin">
        <color rgb="00D9CFBE"/>
      </top>
      <bottom style="thin">
        <color rgb="00D9CFBE"/>
      </bottom>
    </border>
    <border>
      <left style="thin">
        <color rgb="00D9CFBE"/>
      </left>
      <right style="thin">
        <color rgb="00D9CFBE"/>
      </right>
      <top style="medium">
        <color rgb="004A4238"/>
      </top>
      <bottom style="thin">
        <color rgb="00D9CFBE"/>
      </bottom>
    </border>
  </borders>
  <cellStyleXfs count="26">
    <xf numFmtId="0" fontId="0" fillId="0" borderId="0"/>
    <xf numFmtId="0" fontId="1" fillId="0" borderId="1" applyAlignment="1">
      <alignment horizontal="left" vertical="center"/>
    </xf>
    <xf numFmtId="0" fontId="2" fillId="0" borderId="1" applyAlignment="1">
      <alignment horizontal="left" vertical="center"/>
    </xf>
    <xf numFmtId="0" fontId="3" fillId="0" borderId="1" applyAlignment="1">
      <alignment horizontal="left" vertical="center"/>
    </xf>
    <xf numFmtId="0" fontId="4" fillId="0" borderId="1" applyAlignment="1">
      <alignment horizontal="left" vertical="top" wrapText="1"/>
    </xf>
    <xf numFmtId="0" fontId="5" fillId="2" borderId="1" applyAlignment="1">
      <alignment horizontal="left" vertical="center"/>
    </xf>
    <xf numFmtId="0" fontId="6" fillId="2" borderId="2" applyAlignment="1">
      <alignment horizontal="center" vertical="center" wrapText="1"/>
    </xf>
    <xf numFmtId="0" fontId="6" fillId="2" borderId="2" applyAlignment="1">
      <alignment horizontal="left" vertical="center" wrapText="1"/>
    </xf>
    <xf numFmtId="0" fontId="7" fillId="3" borderId="2" applyAlignment="1">
      <alignment horizontal="left" vertical="top" wrapText="1"/>
    </xf>
    <xf numFmtId="0" fontId="7" fillId="3" borderId="2" applyAlignment="1">
      <alignment horizontal="center" vertical="center"/>
    </xf>
    <xf numFmtId="0" fontId="4" fillId="3" borderId="2" applyAlignment="1">
      <alignment horizontal="left" vertical="top" wrapText="1"/>
    </xf>
    <xf numFmtId="0" fontId="8" fillId="4" borderId="2" applyAlignment="1">
      <alignment horizontal="center" vertical="center"/>
    </xf>
    <xf numFmtId="164" fontId="8" fillId="4" borderId="2" applyAlignment="1">
      <alignment horizontal="right" vertical="center"/>
    </xf>
    <xf numFmtId="164" fontId="7" fillId="3" borderId="2" applyAlignment="1">
      <alignment horizontal="right" vertical="center"/>
    </xf>
    <xf numFmtId="2" fontId="8" fillId="5" borderId="2" applyAlignment="1">
      <alignment horizontal="right" vertical="center"/>
    </xf>
    <xf numFmtId="164" fontId="7" fillId="5" borderId="2" applyAlignment="1">
      <alignment horizontal="right" vertical="center"/>
    </xf>
    <xf numFmtId="9" fontId="8" fillId="5" borderId="2" applyAlignment="1">
      <alignment horizontal="right" vertical="center"/>
    </xf>
    <xf numFmtId="165" fontId="8" fillId="5" borderId="2" applyAlignment="1">
      <alignment horizontal="center" vertical="center"/>
    </xf>
    <xf numFmtId="164" fontId="9" fillId="6" borderId="3" applyAlignment="1">
      <alignment horizontal="right" vertical="center"/>
    </xf>
    <xf numFmtId="0" fontId="9" fillId="6" borderId="3" applyAlignment="1">
      <alignment horizontal="left" vertical="center"/>
    </xf>
    <xf numFmtId="165" fontId="10" fillId="3" borderId="2" applyAlignment="1">
      <alignment horizontal="center" vertical="center"/>
    </xf>
    <xf numFmtId="164" fontId="11" fillId="3" borderId="2" applyAlignment="1">
      <alignment horizontal="center" vertical="center"/>
    </xf>
    <xf numFmtId="9" fontId="10" fillId="3" borderId="2" applyAlignment="1">
      <alignment horizontal="center" vertical="center"/>
    </xf>
    <xf numFmtId="0" fontId="12" fillId="3" borderId="2" applyAlignment="1">
      <alignment horizontal="center" vertical="center" wrapText="1"/>
    </xf>
    <xf numFmtId="0" fontId="13" fillId="0" borderId="1" applyAlignment="1">
      <alignment horizontal="left" vertical="top" wrapText="1"/>
    </xf>
    <xf numFmtId="0" fontId="6" fillId="2" borderId="2" applyAlignment="1">
      <alignment horizontal="left" vertical="center" wrapText="1"/>
    </xf>
  </cellStyleXfs>
  <cellXfs count="37">
    <xf numFmtId="0" fontId="0" fillId="0" borderId="0" pivotButton="0" quotePrefix="0" xfId="0"/>
    <xf numFmtId="0" fontId="3" fillId="0" borderId="1" applyAlignment="1" pivotButton="0" quotePrefix="0" xfId="3">
      <alignment horizontal="left" vertical="center"/>
    </xf>
    <xf numFmtId="0" fontId="1" fillId="0" borderId="1" applyAlignment="1" pivotButton="0" quotePrefix="0" xfId="1">
      <alignment horizontal="left" vertical="center"/>
    </xf>
    <xf numFmtId="0" fontId="4" fillId="0" borderId="1" applyAlignment="1" pivotButton="0" quotePrefix="0" xfId="4">
      <alignment horizontal="left" vertical="top" wrapText="1"/>
    </xf>
    <xf numFmtId="0" fontId="2" fillId="0" borderId="1" applyAlignment="1" pivotButton="0" quotePrefix="0" xfId="2">
      <alignment vertical="top" wrapText="1"/>
    </xf>
    <xf numFmtId="0" fontId="4" fillId="0" borderId="1" applyAlignment="1" pivotButton="0" quotePrefix="0" xfId="4">
      <alignment vertical="top" wrapText="1"/>
    </xf>
    <xf numFmtId="165" fontId="10" fillId="3" borderId="2" applyAlignment="1" pivotButton="0" quotePrefix="0" xfId="20">
      <alignment horizontal="center" vertical="center"/>
    </xf>
    <xf numFmtId="9" fontId="10" fillId="3" borderId="2" applyAlignment="1" pivotButton="0" quotePrefix="0" xfId="22">
      <alignment horizontal="center" vertical="center"/>
    </xf>
    <xf numFmtId="164" fontId="11" fillId="3" borderId="2" applyAlignment="1" pivotButton="0" quotePrefix="0" xfId="21">
      <alignment horizontal="center" vertical="center"/>
    </xf>
    <xf numFmtId="0" fontId="12" fillId="3" borderId="2" applyAlignment="1" pivotButton="0" quotePrefix="0" xfId="23">
      <alignment horizontal="center" vertical="center" wrapText="1"/>
    </xf>
    <xf numFmtId="0" fontId="5" fillId="2" borderId="1" applyAlignment="1" pivotButton="0" quotePrefix="0" xfId="5">
      <alignment horizontal="left" vertical="center"/>
    </xf>
    <xf numFmtId="0" fontId="4" fillId="3" borderId="2" applyAlignment="1" pivotButton="0" quotePrefix="0" xfId="10">
      <alignment horizontal="left" vertical="top" wrapText="1"/>
    </xf>
    <xf numFmtId="0" fontId="6" fillId="2" borderId="2" applyAlignment="1" pivotButton="0" quotePrefix="0" xfId="7">
      <alignment horizontal="left" vertical="center" wrapText="1"/>
    </xf>
    <xf numFmtId="0" fontId="6" fillId="2" borderId="2" applyAlignment="1" pivotButton="0" quotePrefix="0" xfId="6">
      <alignment horizontal="center" vertical="center" wrapText="1"/>
    </xf>
    <xf numFmtId="0" fontId="7" fillId="3" borderId="2" applyAlignment="1" pivotButton="0" quotePrefix="0" xfId="8">
      <alignment horizontal="left" vertical="top" wrapText="1"/>
    </xf>
    <xf numFmtId="0" fontId="8" fillId="4" borderId="2" applyAlignment="1" pivotButton="0" quotePrefix="0" xfId="11">
      <alignment horizontal="center" vertical="center"/>
    </xf>
    <xf numFmtId="0" fontId="7" fillId="7" borderId="2" applyAlignment="1" pivotButton="0" quotePrefix="0" xfId="8">
      <alignment horizontal="left" vertical="top" wrapText="1"/>
    </xf>
    <xf numFmtId="0" fontId="4" fillId="7" borderId="2" applyAlignment="1" pivotButton="0" quotePrefix="0" xfId="10">
      <alignment horizontal="left" vertical="top" wrapText="1"/>
    </xf>
    <xf numFmtId="164" fontId="7" fillId="5" borderId="2" applyAlignment="1" pivotButton="0" quotePrefix="0" xfId="15">
      <alignment horizontal="right" vertical="center"/>
    </xf>
    <xf numFmtId="0" fontId="7" fillId="3" borderId="2" applyAlignment="1" pivotButton="0" quotePrefix="0" xfId="9">
      <alignment horizontal="center" vertical="center"/>
    </xf>
    <xf numFmtId="164" fontId="7" fillId="3" borderId="2" applyAlignment="1" pivotButton="0" quotePrefix="0" xfId="13">
      <alignment horizontal="right" vertical="center"/>
    </xf>
    <xf numFmtId="0" fontId="7" fillId="7" borderId="2" applyAlignment="1" pivotButton="0" quotePrefix="0" xfId="9">
      <alignment horizontal="center" vertical="center"/>
    </xf>
    <xf numFmtId="164" fontId="7" fillId="7" borderId="2" applyAlignment="1" pivotButton="0" quotePrefix="0" xfId="13">
      <alignment horizontal="right" vertical="center"/>
    </xf>
    <xf numFmtId="165" fontId="7" fillId="7" borderId="2" applyAlignment="1" pivotButton="0" quotePrefix="0" xfId="9">
      <alignment horizontal="center" vertical="center"/>
    </xf>
    <xf numFmtId="165" fontId="7" fillId="3" borderId="2" applyAlignment="1" pivotButton="0" quotePrefix="0" xfId="9">
      <alignment horizontal="center" vertical="center"/>
    </xf>
    <xf numFmtId="9" fontId="8" fillId="4" borderId="2" applyAlignment="1" pivotButton="0" quotePrefix="0" xfId="11">
      <alignment horizontal="center" vertical="center"/>
    </xf>
    <xf numFmtId="0" fontId="9" fillId="6" borderId="3" applyAlignment="1" pivotButton="0" quotePrefix="0" xfId="19">
      <alignment horizontal="left" vertical="center"/>
    </xf>
    <xf numFmtId="2" fontId="9" fillId="6" borderId="3" applyAlignment="1" pivotButton="0" quotePrefix="0" xfId="18">
      <alignment horizontal="right" vertical="center"/>
    </xf>
    <xf numFmtId="2" fontId="8" fillId="5" borderId="2" applyAlignment="1" pivotButton="0" quotePrefix="0" xfId="14">
      <alignment horizontal="right" vertical="center"/>
    </xf>
    <xf numFmtId="9" fontId="8" fillId="5" borderId="2" applyAlignment="1" pivotButton="0" quotePrefix="0" xfId="16">
      <alignment horizontal="right" vertical="center"/>
    </xf>
    <xf numFmtId="165" fontId="9" fillId="6" borderId="3" applyAlignment="1" pivotButton="0" quotePrefix="0" xfId="18">
      <alignment horizontal="right" vertical="center"/>
    </xf>
    <xf numFmtId="164" fontId="8" fillId="4" borderId="2" applyAlignment="1" pivotButton="0" quotePrefix="0" xfId="12">
      <alignment horizontal="right" vertical="center"/>
    </xf>
    <xf numFmtId="164" fontId="9" fillId="6" borderId="3" applyAlignment="1" pivotButton="0" quotePrefix="0" xfId="18">
      <alignment horizontal="right" vertical="center"/>
    </xf>
    <xf numFmtId="165" fontId="8" fillId="4" borderId="2" applyAlignment="1" pivotButton="0" quotePrefix="0" xfId="11">
      <alignment horizontal="center" vertical="center"/>
    </xf>
    <xf numFmtId="165" fontId="8" fillId="5" borderId="2" applyAlignment="1" pivotButton="0" quotePrefix="0" xfId="17">
      <alignment horizontal="center" vertical="center"/>
    </xf>
    <xf numFmtId="0" fontId="6" fillId="2" borderId="2" applyAlignment="1" pivotButton="0" quotePrefix="0" xfId="25">
      <alignment horizontal="left" vertical="center" wrapText="1"/>
    </xf>
    <xf numFmtId="0" fontId="13" fillId="0" borderId="1" applyAlignment="1" pivotButton="0" quotePrefix="0" xfId="24">
      <alignment horizontal="left" vertical="top" wrapText="1"/>
    </xf>
  </cellXfs>
  <cellStyles count="26">
    <cellStyle name="Normal" xfId="0" builtinId="0" hidden="0"/>
    <cellStyle name="s_title" xfId="1" hidden="0"/>
    <cellStyle name="s_h2" xfId="2" hidden="0"/>
    <cellStyle name="s_kick" xfId="3" hidden="0"/>
    <cellStyle name="s_note" xfId="4" hidden="0"/>
    <cellStyle name="s_bar" xfId="5" hidden="0"/>
    <cellStyle name="s_head" xfId="6" hidden="0"/>
    <cellStyle name="s_headl" xfId="7" hidden="0"/>
    <cellStyle name="s_cell" xfId="8" hidden="0"/>
    <cellStyle name="s_cellc" xfId="9" hidden="0"/>
    <cellStyle name="s_small" xfId="10" hidden="0"/>
    <cellStyle name="s_input" xfId="11" hidden="0"/>
    <cellStyle name="s_minput" xfId="12" hidden="0"/>
    <cellStyle name="s_money" xfId="13" hidden="0"/>
    <cellStyle name="s_calc" xfId="14" hidden="0"/>
    <cellStyle name="s_calcm" xfId="15" hidden="0"/>
    <cellStyle name="s_calcp" xfId="16" hidden="0"/>
    <cellStyle name="s_calci" xfId="17" hidden="0"/>
    <cellStyle name="s_tot" xfId="18" hidden="0"/>
    <cellStyle name="s_totl" xfId="19" hidden="0"/>
    <cellStyle name="s_kpiv" xfId="20" hidden="0"/>
    <cellStyle name="s_kpim" xfId="21" hidden="0"/>
    <cellStyle name="s_kpip" xfId="22" hidden="0"/>
    <cellStyle name="s_kpil" xfId="23" hidden="0"/>
    <cellStyle name="s_ref" xfId="24" hidden="0"/>
    <cellStyle name="s_refh" xfId="25" hidden="0"/>
  </cellStyles>
  <dxfs count="2">
    <dxf>
      <fill>
        <patternFill patternType="solid">
          <fgColor rgb="00CDE8D8"/>
        </patternFill>
      </fill>
    </dxf>
    <dxf>
      <fill>
        <patternFill patternType="solid">
          <fgColor rgb="00F6C9B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Four pillars: now against target</a:t>
            </a:r>
          </a:p>
        </rich>
      </tx>
    </title>
    <plotArea>
      <radarChart>
        <radarStyle val="marker"/>
        <ser>
          <idx val="0"/>
          <order val="0"/>
          <tx>
            <strRef>
              <f>'Pillars'!B59</f>
            </strRef>
          </tx>
          <spPr>
            <a:ln xmlns:a="http://schemas.openxmlformats.org/drawingml/2006/main">
              <a:prstDash val="solid"/>
            </a:ln>
          </spPr>
          <marker>
            <symbol val="none"/>
            <spPr>
              <a:ln xmlns:a="http://schemas.openxmlformats.org/drawingml/2006/main">
                <a:prstDash val="solid"/>
              </a:ln>
            </spPr>
          </marker>
          <cat>
            <numRef>
              <f>'Pillars'!$A$60:$A$63</f>
            </numRef>
          </cat>
          <val>
            <numRef>
              <f>'Pillars'!$B$60:$B$63</f>
            </numRef>
          </val>
        </ser>
        <ser>
          <idx val="1"/>
          <order val="1"/>
          <tx>
            <strRef>
              <f>'Pillars'!C59</f>
            </strRef>
          </tx>
          <spPr>
            <a:ln xmlns:a="http://schemas.openxmlformats.org/drawingml/2006/main">
              <a:prstDash val="solid"/>
            </a:ln>
          </spPr>
          <marker>
            <symbol val="none"/>
            <spPr>
              <a:ln xmlns:a="http://schemas.openxmlformats.org/drawingml/2006/main">
                <a:prstDash val="solid"/>
              </a:ln>
            </spPr>
          </marker>
          <cat>
            <numRef>
              <f>'Pillars'!$A$60:$A$63</f>
            </numRef>
          </cat>
          <val>
            <numRef>
              <f>'Pillars'!$C$60:$C$63</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Gate points by section</a:t>
            </a:r>
          </a:p>
        </rich>
      </tx>
    </title>
    <plotArea>
      <barChart>
        <barDir val="bar"/>
        <grouping val="clustered"/>
        <ser>
          <idx val="0"/>
          <order val="0"/>
          <tx>
            <strRef>
              <f>'Decision gate'!E25</f>
            </strRef>
          </tx>
          <spPr>
            <a:ln xmlns:a="http://schemas.openxmlformats.org/drawingml/2006/main">
              <a:prstDash val="solid"/>
            </a:ln>
          </spPr>
          <cat>
            <numRef>
              <f>'Decision gate'!$A$26:$A$32</f>
            </numRef>
          </cat>
          <val>
            <numRef>
              <f>'Decision gate'!$E$26:$E$32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Cumulative cash, at the simulator's assumptions</a:t>
            </a:r>
          </a:p>
        </rich>
      </tx>
    </title>
    <plotArea>
      <lineChart>
        <grouping val="standard"/>
        <ser>
          <idx val="0"/>
          <order val="0"/>
          <tx>
            <strRef>
              <f>'Simulator'!D20</f>
            </strRef>
          </tx>
          <spPr>
            <a:ln xmlns:a="http://schemas.openxmlformats.org/drawingml/2006/main">
              <a:prstDash val="solid"/>
            </a:ln>
          </spPr>
          <marker>
            <symbol val="none"/>
            <spPr>
              <a:ln xmlns:a="http://schemas.openxmlformats.org/drawingml/2006/main">
                <a:prstDash val="solid"/>
              </a:ln>
            </spPr>
          </marker>
          <cat>
            <numRef>
              <f>'Simulator'!$A$21:$A$45</f>
            </numRef>
          </cat>
          <val>
            <numRef>
              <f>'Simulator'!$D$21:$D$45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Cumulative cash position</a:t>
            </a:r>
          </a:p>
        </rich>
      </tx>
    </title>
    <plotArea>
      <lineChart>
        <grouping val="standard"/>
        <ser>
          <idx val="0"/>
          <order val="0"/>
          <tx>
            <strRef>
              <f>'Simulator'!D20</f>
            </strRef>
          </tx>
          <spPr>
            <a:ln xmlns:a="http://schemas.openxmlformats.org/drawingml/2006/main">
              <a:prstDash val="solid"/>
            </a:ln>
          </spPr>
          <marker>
            <symbol val="none"/>
            <spPr>
              <a:ln xmlns:a="http://schemas.openxmlformats.org/drawingml/2006/main">
                <a:prstDash val="solid"/>
              </a:ln>
            </spPr>
          </marker>
          <cat>
            <numRef>
              <f>'Simulator'!$A$21:$A$45</f>
            </numRef>
          </cat>
          <val>
            <numRef>
              <f>'Simulator'!$D$21:$D$45</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Cumulative cash</a:t>
                </a:r>
              </a:p>
            </rich>
          </tx>
        </title>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Points by section</a:t>
            </a:r>
          </a:p>
        </rich>
      </tx>
    </title>
    <plotArea>
      <barChart>
        <barDir val="bar"/>
        <grouping val="clustered"/>
        <ser>
          <idx val="0"/>
          <order val="0"/>
          <tx>
            <strRef>
              <f>'Decision gate'!E25</f>
            </strRef>
          </tx>
          <spPr>
            <a:ln xmlns:a="http://schemas.openxmlformats.org/drawingml/2006/main">
              <a:prstDash val="solid"/>
            </a:ln>
          </spPr>
          <cat>
            <numRef>
              <f>'Decision gate'!$A$26:$A$32</f>
            </numRef>
          </cat>
          <val>
            <numRef>
              <f>'Decision gate'!$E$26:$E$32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Net benefit by initiative</a:t>
            </a:r>
          </a:p>
        </rich>
      </tx>
    </title>
    <plotArea>
      <barChart>
        <barDir val="col"/>
        <grouping val="clustered"/>
        <ser>
          <idx val="0"/>
          <order val="0"/>
          <tx>
            <strRef>
              <f>'Financials'!I5</f>
            </strRef>
          </tx>
          <spPr>
            <a:ln xmlns:a="http://schemas.openxmlformats.org/drawingml/2006/main">
              <a:prstDash val="solid"/>
            </a:ln>
          </spPr>
          <cat>
            <numRef>
              <f>'Financials'!$A$6:$A$11</f>
            </numRef>
          </cat>
          <val>
            <numRef>
              <f>'Financials'!$I$6:$I$11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7.xml><?xml version="1.0" encoding="utf-8"?>
<chartSpace xmlns="http://schemas.openxmlformats.org/drawingml/2006/chart">
  <style val="13"/>
  <chart>
    <title>
      <tx>
        <rich>
          <a:bodyPr xmlns:a="http://schemas.openxmlformats.org/drawingml/2006/main"/>
          <a:p xmlns:a="http://schemas.openxmlformats.org/drawingml/2006/main">
            <a:pPr>
              <a:defRPr/>
            </a:pPr>
            <a:r>
              <a:t>Readiness against return</a:t>
            </a:r>
          </a:p>
        </rich>
      </tx>
    </title>
    <plotArea>
      <scatterChart>
        <ser>
          <idx val="0"/>
          <order val="0"/>
          <tx>
            <v>Use cases</v>
          </tx>
          <spPr>
            <a:ln xmlns:a="http://schemas.openxmlformats.org/drawingml/2006/main">
              <a:noFill/>
              <a:prstDash val="solid"/>
            </a:ln>
          </spPr>
          <marker>
            <symbol val="circle"/>
            <size val="9"/>
            <spPr>
              <a:ln xmlns:a="http://schemas.openxmlformats.org/drawingml/2006/main">
                <a:prstDash val="solid"/>
              </a:ln>
            </spPr>
          </marker>
          <xVal>
            <numRef>
              <f>'Use cases'!$N$6:$N$17</f>
            </numRef>
          </xVal>
          <yVal>
            <numRef>
              <f>'Use cases'!$O$6:$O$17</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Readiness 0-5</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ROI x</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_rels/drawing5.xml.rels><Relationships xmlns="http://schemas.openxmlformats.org/package/2006/relationships"><Relationship Type="http://schemas.openxmlformats.org/officeDocument/2006/relationships/chart" Target="/xl/charts/chart7.xml" Id="rId1"/></Relationships>
</file>

<file path=xl/drawings/drawing1.xml><?xml version="1.0" encoding="utf-8"?>
<wsDr xmlns="http://schemas.openxmlformats.org/drawingml/2006/spreadsheetDrawing">
  <oneCellAnchor>
    <from>
      <col>0</col>
      <colOff>0</colOff>
      <row>10</row>
      <rowOff>0</rowOff>
    </from>
    <ext cx="46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10</row>
      <rowOff>0</rowOff>
    </from>
    <ext cx="46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31</row>
      <rowOff>0</rowOff>
    </from>
    <ext cx="972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4</col>
      <colOff>0</colOff>
      <row>10</row>
      <rowOff>0</rowOff>
    </from>
    <ext cx="68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6</col>
      <colOff>0</colOff>
      <row>23</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18</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col>
      <colOff>0</colOff>
      <row>19</row>
      <rowOff>0</rowOff>
    </from>
    <ext cx="54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2B2620"/>
    <outlinePr summaryBelow="1" summaryRight="1"/>
    <pageSetUpPr fitToPage="1"/>
  </sheetPr>
  <dimension ref="A1:B17"/>
  <sheetViews>
    <sheetView showGridLines="0" workbookViewId="0">
      <selection activeCell="A1" sqref="A1"/>
    </sheetView>
  </sheetViews>
  <sheetFormatPr baseColWidth="8" defaultRowHeight="15"/>
  <cols>
    <col width="26" customWidth="1" min="1" max="1"/>
    <col width="112" customWidth="1" min="2" max="2"/>
  </cols>
  <sheetData>
    <row r="1" ht="16" customHeight="1">
      <c r="A1" s="1" t="inlineStr">
        <is>
          <t>AI ADOPTION FRAMEWORK</t>
        </is>
      </c>
    </row>
    <row r="2" ht="30" customHeight="1">
      <c r="A2" s="2" t="inlineStr">
        <is>
          <t>How this workbook works</t>
        </is>
      </c>
    </row>
    <row r="3" ht="20" customHeight="1">
      <c r="A3" s="3" t="inlineStr">
        <is>
          <t>Read this once. The short version: edit the peach cells, read the cream ones, and start on the Simulator sheet.</t>
        </is>
      </c>
    </row>
    <row r="4" ht="8" customHeight="1"/>
    <row r="5" ht="7" customHeight="1"/>
    <row r="6" ht="36" customHeight="1">
      <c r="A6" s="4" t="inlineStr">
        <is>
          <t>What it is</t>
        </is>
      </c>
      <c r="B6" s="3" t="inlineStr">
        <is>
          <t>A live version of the AI Adoption Framework activity sheet. Every figure it reports is a formula — change an input and the charts, scores and verdicts move with it.</t>
        </is>
      </c>
    </row>
    <row r="7" ht="36" customHeight="1">
      <c r="A7" s="4" t="inlineStr">
        <is>
          <t>Where to start</t>
        </is>
      </c>
      <c r="B7" s="3" t="inlineStr">
        <is>
          <t>Simulator is the one-screen view for a decision-maker: five assumptions, four numbers, a cash curve and a sensitivity grid. Dashboard is the full picture. The other sheets hold the detail.</t>
        </is>
      </c>
    </row>
    <row r="8" ht="21.5" customHeight="1">
      <c r="A8" s="4" t="inlineStr">
        <is>
          <t>What to edit</t>
        </is>
      </c>
      <c r="B8" s="3" t="inlineStr">
        <is>
          <t>Only the peach cells are inputs. Cream cells are calculated — overwriting one breaks the chain.</t>
        </is>
      </c>
    </row>
    <row r="9" ht="36" customHeight="1">
      <c r="A9" s="4" t="inlineStr">
        <is>
          <t>Financial figures</t>
        </is>
      </c>
      <c r="B9" s="3" t="inlineStr">
        <is>
          <t>The source workbook ships its Revenue vs Cost rows blank, so Financials opens on a worked example ($1.0M to build, $2.5M of benefit, $200k to run). Replace it with your own numbers.</t>
        </is>
      </c>
    </row>
    <row r="10" ht="7" customHeight="1"/>
    <row r="11" ht="36" customHeight="1">
      <c r="A11" s="4" t="inlineStr">
        <is>
          <t>Three corrections</t>
        </is>
      </c>
      <c r="B11" s="3" t="inlineStr">
        <is>
          <t>The source workbook's own totals are wrong in three places. This version recomputes them and does not carry the stored results across:</t>
        </is>
      </c>
    </row>
    <row r="12" ht="36" customHeight="1">
      <c r="A12" s="5" t="inlineStr">
        <is>
          <t xml:space="preserve">  1. Gate weights</t>
        </is>
      </c>
      <c r="B12" s="3" t="inlineStr">
        <is>
          <t>The question weights add to 240 and the section headers to 125, against a 0–100 scale. Sections are normalised to 100% and each question is weighted inside its own section. All fives now scores exactly 100.</t>
        </is>
      </c>
    </row>
    <row r="13" ht="36" customHeight="1">
      <c r="A13" s="5" t="inlineStr">
        <is>
          <t xml:space="preserve">  2. Pillar scores</t>
        </is>
      </c>
      <c r="B13" s="3" t="inlineStr">
        <is>
          <t>The printed pillar summaries disagree with their own rows — People prints 2.11 where its nine items average 1.89. Recomputed from the rows.</t>
        </is>
      </c>
    </row>
    <row r="14" ht="50.5" customHeight="1">
      <c r="A14" s="5" t="inlineStr">
        <is>
          <t xml:space="preserve">  3. Revenue maths</t>
        </is>
      </c>
      <c r="B14" s="3" t="inlineStr">
        <is>
          <t>Total Benefits was E+F+G+J, which drops Year 1, counts operating cost as a benefit and includes the Notes column; Net was H−B−G, subtracting operating cost twice. Here benefits = Y1 revenue + Y1 savings + Y2 revenue + Y2 savings, and net = benefits − implementation − operating.</t>
        </is>
      </c>
    </row>
    <row r="15" ht="7" customHeight="1"/>
    <row r="16" ht="36" customHeight="1">
      <c r="A16" s="4" t="inlineStr">
        <is>
          <t>Use-case status</t>
        </is>
      </c>
      <c r="B16" s="3" t="inlineStr">
        <is>
          <t>The source sheet's Status column has no formula behind it. Process ≥ 2 and Tech ≥ 2 reproduces it on all twelve rows, so that is the readiness rule used here.</t>
        </is>
      </c>
    </row>
    <row r="17" ht="36" customHeight="1">
      <c r="A17" s="4" t="inlineStr">
        <is>
          <t>Ramp-up</t>
        </is>
      </c>
      <c r="B17" s="3" t="inlineStr">
        <is>
          <t>On the Simulator, a slow ramp costs benefit rather than merely delaying it: monthly benefit is the full run-rate × MIN(1, month ÷ ramp). At a ramp of 1 the Simulator reproduces Financials exactly.</t>
        </is>
      </c>
    </row>
  </sheetData>
  <mergeCells count="1">
    <mergeCell ref="A3:B3"/>
  </mergeCells>
  <pageMargins left="0.75" right="0.75" top="1" bottom="1" header="0.5" footer="0.5"/>
  <pageSetup orientation="landscape" fitToWidth="1"/>
</worksheet>
</file>

<file path=xl/worksheets/sheet2.xml><?xml version="1.0" encoding="utf-8"?>
<worksheet xmlns="http://schemas.openxmlformats.org/spreadsheetml/2006/main">
  <sheetPr>
    <tabColor rgb="002B2620"/>
    <outlinePr summaryBelow="1" summaryRight="1"/>
    <pageSetUpPr fitToPage="1"/>
  </sheetPr>
  <dimension ref="A1:L9"/>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16" customHeight="1">
      <c r="A1" s="1" t="inlineStr">
        <is>
          <t>OVERVIEW</t>
        </is>
      </c>
    </row>
    <row r="2" ht="30" customHeight="1">
      <c r="A2" s="2" t="inlineStr">
        <is>
          <t>Where this stands</t>
        </is>
      </c>
    </row>
    <row r="3" ht="20" customHeight="1">
      <c r="A3" s="3" t="inlineStr">
        <is>
          <t>Everything here is a formula over the other sheets — nothing is a stored total. Change anything on Pillars, Decision gate or Financials and this page follows.</t>
        </is>
      </c>
    </row>
    <row r="4" ht="8" customHeight="1"/>
    <row r="5" ht="34" customHeight="1">
      <c r="A5" s="6">
        <f>Pillars!$B$64</f>
        <v/>
      </c>
      <c r="B5" s="6" t="n"/>
      <c r="C5" s="6">
        <f>Pillars!$C$64-Pillars!$B$64</f>
        <v/>
      </c>
      <c r="D5" s="6" t="n"/>
      <c r="E5" s="6">
        <f>'Decision gate'!$E$33</f>
        <v/>
      </c>
      <c r="F5" s="6" t="n"/>
      <c r="G5" s="7">
        <f>IF(Financials!$B$12=0,"",Financials!$I$12/Financials!$B$12)</f>
        <v/>
      </c>
      <c r="H5" s="7" t="n"/>
      <c r="I5" s="6">
        <f>IF((Financials!$H$12-Financials!$G$12)&lt;=0,"",Financials!$B$12/((Financials!$H$12-Financials!$G$12)/24))</f>
        <v/>
      </c>
      <c r="J5" s="6" t="n"/>
      <c r="K5" s="8">
        <f>Financials!$I$12</f>
        <v/>
      </c>
      <c r="L5" s="8" t="n"/>
    </row>
    <row r="6" ht="22" customHeight="1">
      <c r="A6" s="9" t="inlineStr">
        <is>
          <t>Readiness now, of 5</t>
        </is>
      </c>
      <c r="B6" s="9" t="n"/>
      <c r="C6" s="9" t="inlineStr">
        <is>
          <t>Gap to target</t>
        </is>
      </c>
      <c r="D6" s="9" t="n"/>
      <c r="E6" s="9" t="inlineStr">
        <is>
          <t>Gate score of 100</t>
        </is>
      </c>
      <c r="F6" s="9" t="n"/>
      <c r="G6" s="9" t="inlineStr">
        <is>
          <t>ROI</t>
        </is>
      </c>
      <c r="H6" s="9" t="n"/>
      <c r="I6" s="9" t="inlineStr">
        <is>
          <t>Payback, months</t>
        </is>
      </c>
      <c r="J6" s="9" t="n"/>
      <c r="K6" s="9" t="inlineStr">
        <is>
          <t>Net benefit</t>
        </is>
      </c>
      <c r="L6" s="9" t="n"/>
    </row>
    <row r="8" ht="22" customHeight="1">
      <c r="A8" s="10">
        <f>LOOKUP('Decision gate'!$E$33,'Decision gate'!$A$37:$A$40,'Decision gate'!$B$37:$B$40)</f>
        <v/>
      </c>
      <c r="B8" s="10" t="n"/>
      <c r="C8" s="10" t="n"/>
      <c r="D8" s="10" t="n"/>
      <c r="E8" s="10" t="n"/>
      <c r="F8" s="10" t="n"/>
      <c r="G8" s="10" t="n"/>
      <c r="H8" s="10" t="n"/>
      <c r="I8" s="10" t="n"/>
      <c r="J8" s="10" t="n"/>
      <c r="K8" s="10" t="n"/>
      <c r="L8" s="10" t="n"/>
    </row>
    <row r="9" ht="22" customHeight="1">
      <c r="A9" s="11">
        <f>LOOKUP('Decision gate'!$E$33,'Decision gate'!$A$37:$A$40,'Decision gate'!$C$37:$C$40)</f>
        <v/>
      </c>
      <c r="B9" s="11" t="n"/>
      <c r="C9" s="11" t="n"/>
      <c r="D9" s="11" t="n"/>
      <c r="E9" s="11" t="n"/>
      <c r="F9" s="11" t="n"/>
      <c r="G9" s="11" t="n"/>
      <c r="H9" s="11" t="n"/>
      <c r="I9" s="11" t="n"/>
      <c r="J9" s="11" t="n"/>
      <c r="K9" s="11" t="n"/>
      <c r="L9" s="11" t="n"/>
    </row>
    <row r="10" ht="8" customHeight="1"/>
  </sheetData>
  <mergeCells count="15">
    <mergeCell ref="A3:L3"/>
    <mergeCell ref="A5:B5"/>
    <mergeCell ref="A6:B6"/>
    <mergeCell ref="C5:D5"/>
    <mergeCell ref="C6:D6"/>
    <mergeCell ref="E5:F5"/>
    <mergeCell ref="E6:F6"/>
    <mergeCell ref="G5:H5"/>
    <mergeCell ref="G6:H6"/>
    <mergeCell ref="I5:J5"/>
    <mergeCell ref="I6:J6"/>
    <mergeCell ref="K5:L5"/>
    <mergeCell ref="K6:L6"/>
    <mergeCell ref="A8:L8"/>
    <mergeCell ref="A9:L9"/>
  </mergeCells>
  <pageMargins left="0.75" right="0.75" top="1" bottom="1" header="0.5" footer="0.5"/>
  <pageSetup orientation="landscape" fitToWidth="1"/>
  <drawing xmlns:r="http://schemas.openxmlformats.org/officeDocument/2006/relationships" r:id="rId1"/>
</worksheet>
</file>

<file path=xl/worksheets/sheet3.xml><?xml version="1.0" encoding="utf-8"?>
<worksheet xmlns="http://schemas.openxmlformats.org/spreadsheetml/2006/main">
  <sheetPr>
    <tabColor rgb="00E2571B"/>
    <outlinePr summaryBelow="1" summaryRight="1"/>
    <pageSetUpPr fitToPage="1"/>
  </sheetPr>
  <dimension ref="A1:N57"/>
  <sheetViews>
    <sheetView showGridLines="1" workbookViewId="0">
      <pane ySplit="5" topLeftCell="A6" activePane="bottomLeft" state="frozen"/>
      <selection pane="bottomLeft" activeCell="A1" sqref="A1"/>
    </sheetView>
  </sheetViews>
  <sheetFormatPr baseColWidth="8" defaultRowHeight="15"/>
  <cols>
    <col width="30" customWidth="1" min="1" max="1"/>
    <col width="15" customWidth="1" min="2" max="2"/>
    <col width="3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16" customHeight="1">
      <c r="A1" s="1" t="inlineStr">
        <is>
          <t>BOARD VIEW</t>
        </is>
      </c>
    </row>
    <row r="2" ht="30" customHeight="1">
      <c r="A2" s="2" t="inlineStr">
        <is>
          <t>What-if simulator</t>
        </is>
      </c>
    </row>
    <row r="3" ht="20" customHeight="1">
      <c r="A3" s="3" t="inlineStr">
        <is>
          <t>Five assumptions in the peach cells. Every figure and both charts move the moment you change one. With every lever at its default this reproduces Financials and the Decision gate exactly.</t>
        </is>
      </c>
    </row>
    <row r="4" ht="8" customHeight="1"/>
    <row r="5" ht="34" customHeight="1">
      <c r="A5" s="12" t="inlineStr">
        <is>
          <t>Assumption</t>
        </is>
      </c>
      <c r="B5" s="13" t="inlineStr">
        <is>
          <t>Value</t>
        </is>
      </c>
      <c r="C5" s="13" t="inlineStr">
        <is>
          <t>What it means</t>
        </is>
      </c>
      <c r="E5" s="8">
        <f>$D$45</f>
        <v/>
      </c>
      <c r="F5" s="8" t="n"/>
      <c r="G5" s="7">
        <f>IF($B$13=0,"",$D$45/$B$13)</f>
        <v/>
      </c>
      <c r="H5" s="7" t="n"/>
      <c r="I5" s="6">
        <f>IF(COUNT($E$22:$E$45)=0,"&gt;24",MIN($E$22:$E$45))</f>
        <v/>
      </c>
      <c r="J5" s="6" t="n"/>
      <c r="K5" s="6">
        <f>IF($B$13=0,"",SUM($B$22:$B$45)/$B$13)</f>
        <v/>
      </c>
      <c r="L5" s="6" t="n"/>
      <c r="M5" s="6">
        <f>MAX(0,MIN(100,'Decision gate'!$E$33+$B$10))</f>
        <v/>
      </c>
      <c r="N5" s="6" t="n"/>
    </row>
    <row r="6" ht="22" customHeight="1">
      <c r="A6" s="14" t="inlineStr">
        <is>
          <t>Investment multiplier</t>
        </is>
      </c>
      <c r="B6" s="15" t="n">
        <v>1</v>
      </c>
      <c r="C6" s="11" t="inlineStr">
        <is>
          <t>x cost on Financials</t>
        </is>
      </c>
      <c r="E6" s="9" t="inlineStr">
        <is>
          <t>Net benefit over 24 months</t>
        </is>
      </c>
      <c r="F6" s="9" t="n"/>
      <c r="G6" s="9" t="inlineStr">
        <is>
          <t>ROI</t>
        </is>
      </c>
      <c r="H6" s="9" t="n"/>
      <c r="I6" s="9" t="inlineStr">
        <is>
          <t>Payback, months</t>
        </is>
      </c>
      <c r="J6" s="9" t="n"/>
      <c r="K6" s="9" t="inlineStr">
        <is>
          <t>Benefit-cost ratio</t>
        </is>
      </c>
      <c r="L6" s="9" t="n"/>
      <c r="M6" s="9" t="inlineStr">
        <is>
          <t>Readiness score</t>
        </is>
      </c>
      <c r="N6" s="9" t="n"/>
    </row>
    <row r="7" ht="22" customHeight="1">
      <c r="A7" s="16" t="inlineStr">
        <is>
          <t>Benefits realised</t>
        </is>
      </c>
      <c r="B7" s="15" t="n">
        <v>1</v>
      </c>
      <c r="C7" s="17" t="inlineStr">
        <is>
          <t>share of forecast actually won</t>
        </is>
      </c>
    </row>
    <row r="8" ht="22" customHeight="1">
      <c r="A8" s="14" t="inlineStr">
        <is>
          <t>Ramp-up, months</t>
        </is>
      </c>
      <c r="B8" s="15" t="n">
        <v>1</v>
      </c>
      <c r="C8" s="11" t="inlineStr">
        <is>
          <t>months to full run-rate</t>
        </is>
      </c>
      <c r="E8" s="10">
        <f>LOOKUP(MAX(0,MIN(100,'Decision gate'!$E$33+$B$10)),'Decision gate'!$A$37:$A$40,'Decision gate'!$B$37:$B$40)</f>
        <v/>
      </c>
      <c r="F8" s="10" t="n"/>
      <c r="G8" s="10" t="n"/>
      <c r="H8" s="10" t="n"/>
      <c r="I8" s="10" t="n"/>
      <c r="J8" s="10" t="n"/>
      <c r="K8" s="10" t="n"/>
      <c r="L8" s="10" t="n"/>
      <c r="M8" s="10" t="n"/>
      <c r="N8" s="10" t="n"/>
    </row>
    <row r="9" ht="22" customHeight="1">
      <c r="A9" s="16" t="inlineStr">
        <is>
          <t>Operating cost mult.</t>
        </is>
      </c>
      <c r="B9" s="15" t="n">
        <v>1</v>
      </c>
      <c r="C9" s="17" t="inlineStr">
        <is>
          <t>x running cost on Financials</t>
        </is>
      </c>
      <c r="E9" s="11">
        <f>LOOKUP(MAX(0,MIN(100,'Decision gate'!$E$33+$B$10)),'Decision gate'!$A$37:$A$40,'Decision gate'!$C$37:$C$40)</f>
        <v/>
      </c>
      <c r="F9" s="11" t="n"/>
      <c r="G9" s="11" t="n"/>
      <c r="H9" s="11" t="n"/>
      <c r="I9" s="11" t="n"/>
      <c r="J9" s="11" t="n"/>
      <c r="K9" s="11" t="n"/>
      <c r="L9" s="11" t="n"/>
      <c r="M9" s="11" t="n"/>
      <c r="N9" s="11" t="n"/>
    </row>
    <row r="10" ht="22" customHeight="1">
      <c r="A10" s="14" t="inlineStr">
        <is>
          <t>Readiness shift, pts</t>
        </is>
      </c>
      <c r="B10" s="15" t="n">
        <v>0</v>
      </c>
      <c r="C10" s="11" t="inlineStr">
        <is>
          <t>added to the gate score</t>
        </is>
      </c>
    </row>
    <row r="12" ht="22" customHeight="1">
      <c r="A12" s="10" t="inlineStr">
        <is>
          <t>Derived from the levers</t>
        </is>
      </c>
      <c r="B12" s="10" t="n"/>
      <c r="C12" s="10" t="n"/>
    </row>
    <row r="13">
      <c r="A13" s="14" t="inlineStr">
        <is>
          <t>Implementation</t>
        </is>
      </c>
      <c r="B13" s="18">
        <f>Financials!$B$12*$B$6</f>
        <v/>
      </c>
      <c r="C13" s="14" t="inlineStr"/>
    </row>
    <row r="14">
      <c r="A14" s="16" t="inlineStr">
        <is>
          <t>Benefits at full rate</t>
        </is>
      </c>
      <c r="B14" s="18">
        <f>Financials!$H$12*$B$7</f>
        <v/>
      </c>
      <c r="C14" s="16" t="inlineStr"/>
    </row>
    <row r="15">
      <c r="A15" s="14" t="inlineStr">
        <is>
          <t>Operating cost</t>
        </is>
      </c>
      <c r="B15" s="18">
        <f>Financials!$G$12*$B$9</f>
        <v/>
      </c>
      <c r="C15" s="14" t="inlineStr"/>
    </row>
    <row r="16">
      <c r="A16" s="16" t="inlineStr">
        <is>
          <t>Monthly run-rate</t>
        </is>
      </c>
      <c r="B16" s="18">
        <f>$B$14/24</f>
        <v/>
      </c>
      <c r="C16" s="16" t="inlineStr"/>
    </row>
    <row r="17">
      <c r="A17" s="14" t="inlineStr">
        <is>
          <t>Monthly operating</t>
        </is>
      </c>
      <c r="B17" s="18">
        <f>$B$15/24</f>
        <v/>
      </c>
      <c r="C17" s="14" t="inlineStr"/>
    </row>
    <row r="19" ht="22" customHeight="1">
      <c r="A19" s="10" t="inlineStr">
        <is>
          <t>Month by month — feeds the cash curve</t>
        </is>
      </c>
      <c r="B19" s="10" t="n"/>
      <c r="C19" s="10" t="n"/>
      <c r="D19" s="10" t="n"/>
      <c r="E19" s="10" t="n"/>
    </row>
    <row r="20" ht="32" customHeight="1">
      <c r="A20" s="12" t="inlineStr">
        <is>
          <t>Month</t>
        </is>
      </c>
      <c r="B20" s="13" t="inlineStr">
        <is>
          <t>Benefit</t>
        </is>
      </c>
      <c r="C20" s="13" t="inlineStr">
        <is>
          <t>Operating</t>
        </is>
      </c>
      <c r="D20" s="13" t="inlineStr">
        <is>
          <t>Cumulative cash</t>
        </is>
      </c>
      <c r="E20" s="13" t="inlineStr">
        <is>
          <t>Crosses zero at</t>
        </is>
      </c>
    </row>
    <row r="21">
      <c r="A21" s="19" t="n">
        <v>0</v>
      </c>
      <c r="B21" s="20" t="n">
        <v>0</v>
      </c>
      <c r="C21" s="20" t="n">
        <v>0</v>
      </c>
      <c r="D21" s="18">
        <f>-$B$13</f>
        <v/>
      </c>
      <c r="E21" s="19" t="inlineStr"/>
    </row>
    <row r="22">
      <c r="A22" s="21" t="n">
        <v>1</v>
      </c>
      <c r="B22" s="22">
        <f>$B$16*MIN(1,A22/$B$8)</f>
        <v/>
      </c>
      <c r="C22" s="22">
        <f>$B$17</f>
        <v/>
      </c>
      <c r="D22" s="18">
        <f>D21+B22-C22</f>
        <v/>
      </c>
      <c r="E22" s="23">
        <f>IF(AND(D22&gt;=0,D21&lt;0),A22-1+(-D21)/(D22-D21),"")</f>
        <v/>
      </c>
    </row>
    <row r="23">
      <c r="A23" s="19" t="n">
        <v>2</v>
      </c>
      <c r="B23" s="20">
        <f>$B$16*MIN(1,A23/$B$8)</f>
        <v/>
      </c>
      <c r="C23" s="20">
        <f>$B$17</f>
        <v/>
      </c>
      <c r="D23" s="18">
        <f>D22+B23-C23</f>
        <v/>
      </c>
      <c r="E23" s="24">
        <f>IF(AND(D23&gt;=0,D22&lt;0),A23-1+(-D22)/(D23-D22),"")</f>
        <v/>
      </c>
    </row>
    <row r="24">
      <c r="A24" s="21" t="n">
        <v>3</v>
      </c>
      <c r="B24" s="22">
        <f>$B$16*MIN(1,A24/$B$8)</f>
        <v/>
      </c>
      <c r="C24" s="22">
        <f>$B$17</f>
        <v/>
      </c>
      <c r="D24" s="18">
        <f>D23+B24-C24</f>
        <v/>
      </c>
      <c r="E24" s="23">
        <f>IF(AND(D24&gt;=0,D23&lt;0),A24-1+(-D23)/(D24-D23),"")</f>
        <v/>
      </c>
    </row>
    <row r="25">
      <c r="A25" s="19" t="n">
        <v>4</v>
      </c>
      <c r="B25" s="20">
        <f>$B$16*MIN(1,A25/$B$8)</f>
        <v/>
      </c>
      <c r="C25" s="20">
        <f>$B$17</f>
        <v/>
      </c>
      <c r="D25" s="18">
        <f>D24+B25-C25</f>
        <v/>
      </c>
      <c r="E25" s="24">
        <f>IF(AND(D25&gt;=0,D24&lt;0),A25-1+(-D24)/(D25-D24),"")</f>
        <v/>
      </c>
    </row>
    <row r="26">
      <c r="A26" s="21" t="n">
        <v>5</v>
      </c>
      <c r="B26" s="22">
        <f>$B$16*MIN(1,A26/$B$8)</f>
        <v/>
      </c>
      <c r="C26" s="22">
        <f>$B$17</f>
        <v/>
      </c>
      <c r="D26" s="18">
        <f>D25+B26-C26</f>
        <v/>
      </c>
      <c r="E26" s="23">
        <f>IF(AND(D26&gt;=0,D25&lt;0),A26-1+(-D25)/(D26-D25),"")</f>
        <v/>
      </c>
    </row>
    <row r="27">
      <c r="A27" s="19" t="n">
        <v>6</v>
      </c>
      <c r="B27" s="20">
        <f>$B$16*MIN(1,A27/$B$8)</f>
        <v/>
      </c>
      <c r="C27" s="20">
        <f>$B$17</f>
        <v/>
      </c>
      <c r="D27" s="18">
        <f>D26+B27-C27</f>
        <v/>
      </c>
      <c r="E27" s="24">
        <f>IF(AND(D27&gt;=0,D26&lt;0),A27-1+(-D26)/(D27-D26),"")</f>
        <v/>
      </c>
    </row>
    <row r="28">
      <c r="A28" s="21" t="n">
        <v>7</v>
      </c>
      <c r="B28" s="22">
        <f>$B$16*MIN(1,A28/$B$8)</f>
        <v/>
      </c>
      <c r="C28" s="22">
        <f>$B$17</f>
        <v/>
      </c>
      <c r="D28" s="18">
        <f>D27+B28-C28</f>
        <v/>
      </c>
      <c r="E28" s="23">
        <f>IF(AND(D28&gt;=0,D27&lt;0),A28-1+(-D27)/(D28-D27),"")</f>
        <v/>
      </c>
    </row>
    <row r="29">
      <c r="A29" s="19" t="n">
        <v>8</v>
      </c>
      <c r="B29" s="20">
        <f>$B$16*MIN(1,A29/$B$8)</f>
        <v/>
      </c>
      <c r="C29" s="20">
        <f>$B$17</f>
        <v/>
      </c>
      <c r="D29" s="18">
        <f>D28+B29-C29</f>
        <v/>
      </c>
      <c r="E29" s="24">
        <f>IF(AND(D29&gt;=0,D28&lt;0),A29-1+(-D28)/(D29-D28),"")</f>
        <v/>
      </c>
    </row>
    <row r="30">
      <c r="A30" s="21" t="n">
        <v>9</v>
      </c>
      <c r="B30" s="22">
        <f>$B$16*MIN(1,A30/$B$8)</f>
        <v/>
      </c>
      <c r="C30" s="22">
        <f>$B$17</f>
        <v/>
      </c>
      <c r="D30" s="18">
        <f>D29+B30-C30</f>
        <v/>
      </c>
      <c r="E30" s="23">
        <f>IF(AND(D30&gt;=0,D29&lt;0),A30-1+(-D29)/(D30-D29),"")</f>
        <v/>
      </c>
    </row>
    <row r="31">
      <c r="A31" s="19" t="n">
        <v>10</v>
      </c>
      <c r="B31" s="20">
        <f>$B$16*MIN(1,A31/$B$8)</f>
        <v/>
      </c>
      <c r="C31" s="20">
        <f>$B$17</f>
        <v/>
      </c>
      <c r="D31" s="18">
        <f>D30+B31-C31</f>
        <v/>
      </c>
      <c r="E31" s="24">
        <f>IF(AND(D31&gt;=0,D30&lt;0),A31-1+(-D30)/(D31-D30),"")</f>
        <v/>
      </c>
    </row>
    <row r="32">
      <c r="A32" s="21" t="n">
        <v>11</v>
      </c>
      <c r="B32" s="22">
        <f>$B$16*MIN(1,A32/$B$8)</f>
        <v/>
      </c>
      <c r="C32" s="22">
        <f>$B$17</f>
        <v/>
      </c>
      <c r="D32" s="18">
        <f>D31+B32-C32</f>
        <v/>
      </c>
      <c r="E32" s="23">
        <f>IF(AND(D32&gt;=0,D31&lt;0),A32-1+(-D31)/(D32-D31),"")</f>
        <v/>
      </c>
    </row>
    <row r="33">
      <c r="A33" s="19" t="n">
        <v>12</v>
      </c>
      <c r="B33" s="20">
        <f>$B$16*MIN(1,A33/$B$8)</f>
        <v/>
      </c>
      <c r="C33" s="20">
        <f>$B$17</f>
        <v/>
      </c>
      <c r="D33" s="18">
        <f>D32+B33-C33</f>
        <v/>
      </c>
      <c r="E33" s="24">
        <f>IF(AND(D33&gt;=0,D32&lt;0),A33-1+(-D32)/(D33-D32),"")</f>
        <v/>
      </c>
    </row>
    <row r="34">
      <c r="A34" s="21" t="n">
        <v>13</v>
      </c>
      <c r="B34" s="22">
        <f>$B$16*MIN(1,A34/$B$8)</f>
        <v/>
      </c>
      <c r="C34" s="22">
        <f>$B$17</f>
        <v/>
      </c>
      <c r="D34" s="18">
        <f>D33+B34-C34</f>
        <v/>
      </c>
      <c r="E34" s="23">
        <f>IF(AND(D34&gt;=0,D33&lt;0),A34-1+(-D33)/(D34-D33),"")</f>
        <v/>
      </c>
    </row>
    <row r="35">
      <c r="A35" s="19" t="n">
        <v>14</v>
      </c>
      <c r="B35" s="20">
        <f>$B$16*MIN(1,A35/$B$8)</f>
        <v/>
      </c>
      <c r="C35" s="20">
        <f>$B$17</f>
        <v/>
      </c>
      <c r="D35" s="18">
        <f>D34+B35-C35</f>
        <v/>
      </c>
      <c r="E35" s="24">
        <f>IF(AND(D35&gt;=0,D34&lt;0),A35-1+(-D34)/(D35-D34),"")</f>
        <v/>
      </c>
    </row>
    <row r="36">
      <c r="A36" s="21" t="n">
        <v>15</v>
      </c>
      <c r="B36" s="22">
        <f>$B$16*MIN(1,A36/$B$8)</f>
        <v/>
      </c>
      <c r="C36" s="22">
        <f>$B$17</f>
        <v/>
      </c>
      <c r="D36" s="18">
        <f>D35+B36-C36</f>
        <v/>
      </c>
      <c r="E36" s="23">
        <f>IF(AND(D36&gt;=0,D35&lt;0),A36-1+(-D35)/(D36-D35),"")</f>
        <v/>
      </c>
    </row>
    <row r="37">
      <c r="A37" s="19" t="n">
        <v>16</v>
      </c>
      <c r="B37" s="20">
        <f>$B$16*MIN(1,A37/$B$8)</f>
        <v/>
      </c>
      <c r="C37" s="20">
        <f>$B$17</f>
        <v/>
      </c>
      <c r="D37" s="18">
        <f>D36+B37-C37</f>
        <v/>
      </c>
      <c r="E37" s="24">
        <f>IF(AND(D37&gt;=0,D36&lt;0),A37-1+(-D36)/(D37-D36),"")</f>
        <v/>
      </c>
    </row>
    <row r="38">
      <c r="A38" s="21" t="n">
        <v>17</v>
      </c>
      <c r="B38" s="22">
        <f>$B$16*MIN(1,A38/$B$8)</f>
        <v/>
      </c>
      <c r="C38" s="22">
        <f>$B$17</f>
        <v/>
      </c>
      <c r="D38" s="18">
        <f>D37+B38-C38</f>
        <v/>
      </c>
      <c r="E38" s="23">
        <f>IF(AND(D38&gt;=0,D37&lt;0),A38-1+(-D37)/(D38-D37),"")</f>
        <v/>
      </c>
    </row>
    <row r="39">
      <c r="A39" s="19" t="n">
        <v>18</v>
      </c>
      <c r="B39" s="20">
        <f>$B$16*MIN(1,A39/$B$8)</f>
        <v/>
      </c>
      <c r="C39" s="20">
        <f>$B$17</f>
        <v/>
      </c>
      <c r="D39" s="18">
        <f>D38+B39-C39</f>
        <v/>
      </c>
      <c r="E39" s="24">
        <f>IF(AND(D39&gt;=0,D38&lt;0),A39-1+(-D38)/(D39-D38),"")</f>
        <v/>
      </c>
    </row>
    <row r="40">
      <c r="A40" s="21" t="n">
        <v>19</v>
      </c>
      <c r="B40" s="22">
        <f>$B$16*MIN(1,A40/$B$8)</f>
        <v/>
      </c>
      <c r="C40" s="22">
        <f>$B$17</f>
        <v/>
      </c>
      <c r="D40" s="18">
        <f>D39+B40-C40</f>
        <v/>
      </c>
      <c r="E40" s="23">
        <f>IF(AND(D40&gt;=0,D39&lt;0),A40-1+(-D39)/(D40-D39),"")</f>
        <v/>
      </c>
    </row>
    <row r="41">
      <c r="A41" s="19" t="n">
        <v>20</v>
      </c>
      <c r="B41" s="20">
        <f>$B$16*MIN(1,A41/$B$8)</f>
        <v/>
      </c>
      <c r="C41" s="20">
        <f>$B$17</f>
        <v/>
      </c>
      <c r="D41" s="18">
        <f>D40+B41-C41</f>
        <v/>
      </c>
      <c r="E41" s="24">
        <f>IF(AND(D41&gt;=0,D40&lt;0),A41-1+(-D40)/(D41-D40),"")</f>
        <v/>
      </c>
    </row>
    <row r="42">
      <c r="A42" s="21" t="n">
        <v>21</v>
      </c>
      <c r="B42" s="22">
        <f>$B$16*MIN(1,A42/$B$8)</f>
        <v/>
      </c>
      <c r="C42" s="22">
        <f>$B$17</f>
        <v/>
      </c>
      <c r="D42" s="18">
        <f>D41+B42-C42</f>
        <v/>
      </c>
      <c r="E42" s="23">
        <f>IF(AND(D42&gt;=0,D41&lt;0),A42-1+(-D41)/(D42-D41),"")</f>
        <v/>
      </c>
    </row>
    <row r="43">
      <c r="A43" s="19" t="n">
        <v>22</v>
      </c>
      <c r="B43" s="20">
        <f>$B$16*MIN(1,A43/$B$8)</f>
        <v/>
      </c>
      <c r="C43" s="20">
        <f>$B$17</f>
        <v/>
      </c>
      <c r="D43" s="18">
        <f>D42+B43-C43</f>
        <v/>
      </c>
      <c r="E43" s="24">
        <f>IF(AND(D43&gt;=0,D42&lt;0),A43-1+(-D42)/(D43-D42),"")</f>
        <v/>
      </c>
    </row>
    <row r="44">
      <c r="A44" s="21" t="n">
        <v>23</v>
      </c>
      <c r="B44" s="22">
        <f>$B$16*MIN(1,A44/$B$8)</f>
        <v/>
      </c>
      <c r="C44" s="22">
        <f>$B$17</f>
        <v/>
      </c>
      <c r="D44" s="18">
        <f>D43+B44-C44</f>
        <v/>
      </c>
      <c r="E44" s="23">
        <f>IF(AND(D44&gt;=0,D43&lt;0),A44-1+(-D43)/(D44-D43),"")</f>
        <v/>
      </c>
    </row>
    <row r="45">
      <c r="A45" s="19" t="n">
        <v>24</v>
      </c>
      <c r="B45" s="20">
        <f>$B$16*MIN(1,A45/$B$8)</f>
        <v/>
      </c>
      <c r="C45" s="20">
        <f>$B$17</f>
        <v/>
      </c>
      <c r="D45" s="18">
        <f>D44+B45-C45</f>
        <v/>
      </c>
      <c r="E45" s="24">
        <f>IF(AND(D45&gt;=0,D44&lt;0),A45-1+(-D44)/(D45-D44),"")</f>
        <v/>
      </c>
    </row>
    <row r="48" ht="22" customHeight="1">
      <c r="A48" s="10" t="inlineStr">
        <is>
          <t>Net benefit if the assumptions miss</t>
        </is>
      </c>
      <c r="B48" s="10" t="n"/>
      <c r="C48" s="10" t="n"/>
      <c r="D48" s="10" t="n"/>
      <c r="E48" s="10" t="n"/>
      <c r="F48" s="10" t="n"/>
      <c r="G48" s="10" t="n"/>
    </row>
    <row r="49" ht="30" customHeight="1">
      <c r="A49" s="3" t="inlineStr">
        <is>
          <t>Rows: share of forecast benefit actually captured. Columns: months to full run-rate. Investment and operating cost follow the levers above. Green is a positive case, red a loss.</t>
        </is>
      </c>
    </row>
    <row r="50" ht="32" customHeight="1">
      <c r="A50" s="12" t="inlineStr">
        <is>
          <t>Benefits realised</t>
        </is>
      </c>
      <c r="B50" s="13" t="inlineStr">
        <is>
          <t>1 mo</t>
        </is>
      </c>
      <c r="C50" s="13" t="inlineStr">
        <is>
          <t>3 mo</t>
        </is>
      </c>
      <c r="D50" s="13" t="inlineStr">
        <is>
          <t>6 mo</t>
        </is>
      </c>
      <c r="E50" s="13" t="inlineStr">
        <is>
          <t>9 mo</t>
        </is>
      </c>
      <c r="F50" s="13" t="inlineStr">
        <is>
          <t>12 mo</t>
        </is>
      </c>
      <c r="G50" s="13" t="inlineStr">
        <is>
          <t>18 mo</t>
        </is>
      </c>
    </row>
    <row r="51">
      <c r="A51" s="25" t="n">
        <v>1.2</v>
      </c>
      <c r="B51" s="20">
        <f>(Financials!$H$12*$A51/24)*SUMPRODUCT((ROW(INDIRECT("1:24"))/1)*((ROW(INDIRECT("1:24"))/1)&lt;=1)+((ROW(INDIRECT("1:24"))/1)&gt;1)*1)-Financials!$G$12*$B$9-Financials!$B$12*$B$6</f>
        <v/>
      </c>
      <c r="C51" s="20">
        <f>(Financials!$H$12*$A51/24)*SUMPRODUCT((ROW(INDIRECT("1:24"))/3)*((ROW(INDIRECT("1:24"))/3)&lt;=1)+((ROW(INDIRECT("1:24"))/3)&gt;1)*1)-Financials!$G$12*$B$9-Financials!$B$12*$B$6</f>
        <v/>
      </c>
      <c r="D51" s="20">
        <f>(Financials!$H$12*$A51/24)*SUMPRODUCT((ROW(INDIRECT("1:24"))/6)*((ROW(INDIRECT("1:24"))/6)&lt;=1)+((ROW(INDIRECT("1:24"))/6)&gt;1)*1)-Financials!$G$12*$B$9-Financials!$B$12*$B$6</f>
        <v/>
      </c>
      <c r="E51" s="20">
        <f>(Financials!$H$12*$A51/24)*SUMPRODUCT((ROW(INDIRECT("1:24"))/9)*((ROW(INDIRECT("1:24"))/9)&lt;=1)+((ROW(INDIRECT("1:24"))/9)&gt;1)*1)-Financials!$G$12*$B$9-Financials!$B$12*$B$6</f>
        <v/>
      </c>
      <c r="F51" s="20">
        <f>(Financials!$H$12*$A51/24)*SUMPRODUCT((ROW(INDIRECT("1:24"))/12)*((ROW(INDIRECT("1:24"))/12)&lt;=1)+((ROW(INDIRECT("1:24"))/12)&gt;1)*1)-Financials!$G$12*$B$9-Financials!$B$12*$B$6</f>
        <v/>
      </c>
      <c r="G51" s="20">
        <f>(Financials!$H$12*$A51/24)*SUMPRODUCT((ROW(INDIRECT("1:24"))/18)*((ROW(INDIRECT("1:24"))/18)&lt;=1)+((ROW(INDIRECT("1:24"))/18)&gt;1)*1)-Financials!$G$12*$B$9-Financials!$B$12*$B$6</f>
        <v/>
      </c>
    </row>
    <row r="52">
      <c r="A52" s="25" t="n">
        <v>1.1</v>
      </c>
      <c r="B52" s="20">
        <f>(Financials!$H$12*$A52/24)*SUMPRODUCT((ROW(INDIRECT("1:24"))/1)*((ROW(INDIRECT("1:24"))/1)&lt;=1)+((ROW(INDIRECT("1:24"))/1)&gt;1)*1)-Financials!$G$12*$B$9-Financials!$B$12*$B$6</f>
        <v/>
      </c>
      <c r="C52" s="20">
        <f>(Financials!$H$12*$A52/24)*SUMPRODUCT((ROW(INDIRECT("1:24"))/3)*((ROW(INDIRECT("1:24"))/3)&lt;=1)+((ROW(INDIRECT("1:24"))/3)&gt;1)*1)-Financials!$G$12*$B$9-Financials!$B$12*$B$6</f>
        <v/>
      </c>
      <c r="D52" s="20">
        <f>(Financials!$H$12*$A52/24)*SUMPRODUCT((ROW(INDIRECT("1:24"))/6)*((ROW(INDIRECT("1:24"))/6)&lt;=1)+((ROW(INDIRECT("1:24"))/6)&gt;1)*1)-Financials!$G$12*$B$9-Financials!$B$12*$B$6</f>
        <v/>
      </c>
      <c r="E52" s="20">
        <f>(Financials!$H$12*$A52/24)*SUMPRODUCT((ROW(INDIRECT("1:24"))/9)*((ROW(INDIRECT("1:24"))/9)&lt;=1)+((ROW(INDIRECT("1:24"))/9)&gt;1)*1)-Financials!$G$12*$B$9-Financials!$B$12*$B$6</f>
        <v/>
      </c>
      <c r="F52" s="20">
        <f>(Financials!$H$12*$A52/24)*SUMPRODUCT((ROW(INDIRECT("1:24"))/12)*((ROW(INDIRECT("1:24"))/12)&lt;=1)+((ROW(INDIRECT("1:24"))/12)&gt;1)*1)-Financials!$G$12*$B$9-Financials!$B$12*$B$6</f>
        <v/>
      </c>
      <c r="G52" s="20">
        <f>(Financials!$H$12*$A52/24)*SUMPRODUCT((ROW(INDIRECT("1:24"))/18)*((ROW(INDIRECT("1:24"))/18)&lt;=1)+((ROW(INDIRECT("1:24"))/18)&gt;1)*1)-Financials!$G$12*$B$9-Financials!$B$12*$B$6</f>
        <v/>
      </c>
    </row>
    <row r="53">
      <c r="A53" s="25" t="n">
        <v>1</v>
      </c>
      <c r="B53" s="20">
        <f>(Financials!$H$12*$A53/24)*SUMPRODUCT((ROW(INDIRECT("1:24"))/1)*((ROW(INDIRECT("1:24"))/1)&lt;=1)+((ROW(INDIRECT("1:24"))/1)&gt;1)*1)-Financials!$G$12*$B$9-Financials!$B$12*$B$6</f>
        <v/>
      </c>
      <c r="C53" s="20">
        <f>(Financials!$H$12*$A53/24)*SUMPRODUCT((ROW(INDIRECT("1:24"))/3)*((ROW(INDIRECT("1:24"))/3)&lt;=1)+((ROW(INDIRECT("1:24"))/3)&gt;1)*1)-Financials!$G$12*$B$9-Financials!$B$12*$B$6</f>
        <v/>
      </c>
      <c r="D53" s="20">
        <f>(Financials!$H$12*$A53/24)*SUMPRODUCT((ROW(INDIRECT("1:24"))/6)*((ROW(INDIRECT("1:24"))/6)&lt;=1)+((ROW(INDIRECT("1:24"))/6)&gt;1)*1)-Financials!$G$12*$B$9-Financials!$B$12*$B$6</f>
        <v/>
      </c>
      <c r="E53" s="20">
        <f>(Financials!$H$12*$A53/24)*SUMPRODUCT((ROW(INDIRECT("1:24"))/9)*((ROW(INDIRECT("1:24"))/9)&lt;=1)+((ROW(INDIRECT("1:24"))/9)&gt;1)*1)-Financials!$G$12*$B$9-Financials!$B$12*$B$6</f>
        <v/>
      </c>
      <c r="F53" s="20">
        <f>(Financials!$H$12*$A53/24)*SUMPRODUCT((ROW(INDIRECT("1:24"))/12)*((ROW(INDIRECT("1:24"))/12)&lt;=1)+((ROW(INDIRECT("1:24"))/12)&gt;1)*1)-Financials!$G$12*$B$9-Financials!$B$12*$B$6</f>
        <v/>
      </c>
      <c r="G53" s="20">
        <f>(Financials!$H$12*$A53/24)*SUMPRODUCT((ROW(INDIRECT("1:24"))/18)*((ROW(INDIRECT("1:24"))/18)&lt;=1)+((ROW(INDIRECT("1:24"))/18)&gt;1)*1)-Financials!$G$12*$B$9-Financials!$B$12*$B$6</f>
        <v/>
      </c>
    </row>
    <row r="54">
      <c r="A54" s="25" t="n">
        <v>0.9</v>
      </c>
      <c r="B54" s="20">
        <f>(Financials!$H$12*$A54/24)*SUMPRODUCT((ROW(INDIRECT("1:24"))/1)*((ROW(INDIRECT("1:24"))/1)&lt;=1)+((ROW(INDIRECT("1:24"))/1)&gt;1)*1)-Financials!$G$12*$B$9-Financials!$B$12*$B$6</f>
        <v/>
      </c>
      <c r="C54" s="20">
        <f>(Financials!$H$12*$A54/24)*SUMPRODUCT((ROW(INDIRECT("1:24"))/3)*((ROW(INDIRECT("1:24"))/3)&lt;=1)+((ROW(INDIRECT("1:24"))/3)&gt;1)*1)-Financials!$G$12*$B$9-Financials!$B$12*$B$6</f>
        <v/>
      </c>
      <c r="D54" s="20">
        <f>(Financials!$H$12*$A54/24)*SUMPRODUCT((ROW(INDIRECT("1:24"))/6)*((ROW(INDIRECT("1:24"))/6)&lt;=1)+((ROW(INDIRECT("1:24"))/6)&gt;1)*1)-Financials!$G$12*$B$9-Financials!$B$12*$B$6</f>
        <v/>
      </c>
      <c r="E54" s="20">
        <f>(Financials!$H$12*$A54/24)*SUMPRODUCT((ROW(INDIRECT("1:24"))/9)*((ROW(INDIRECT("1:24"))/9)&lt;=1)+((ROW(INDIRECT("1:24"))/9)&gt;1)*1)-Financials!$G$12*$B$9-Financials!$B$12*$B$6</f>
        <v/>
      </c>
      <c r="F54" s="20">
        <f>(Financials!$H$12*$A54/24)*SUMPRODUCT((ROW(INDIRECT("1:24"))/12)*((ROW(INDIRECT("1:24"))/12)&lt;=1)+((ROW(INDIRECT("1:24"))/12)&gt;1)*1)-Financials!$G$12*$B$9-Financials!$B$12*$B$6</f>
        <v/>
      </c>
      <c r="G54" s="20">
        <f>(Financials!$H$12*$A54/24)*SUMPRODUCT((ROW(INDIRECT("1:24"))/18)*((ROW(INDIRECT("1:24"))/18)&lt;=1)+((ROW(INDIRECT("1:24"))/18)&gt;1)*1)-Financials!$G$12*$B$9-Financials!$B$12*$B$6</f>
        <v/>
      </c>
    </row>
    <row r="55">
      <c r="A55" s="25" t="n">
        <v>0.8</v>
      </c>
      <c r="B55" s="20">
        <f>(Financials!$H$12*$A55/24)*SUMPRODUCT((ROW(INDIRECT("1:24"))/1)*((ROW(INDIRECT("1:24"))/1)&lt;=1)+((ROW(INDIRECT("1:24"))/1)&gt;1)*1)-Financials!$G$12*$B$9-Financials!$B$12*$B$6</f>
        <v/>
      </c>
      <c r="C55" s="20">
        <f>(Financials!$H$12*$A55/24)*SUMPRODUCT((ROW(INDIRECT("1:24"))/3)*((ROW(INDIRECT("1:24"))/3)&lt;=1)+((ROW(INDIRECT("1:24"))/3)&gt;1)*1)-Financials!$G$12*$B$9-Financials!$B$12*$B$6</f>
        <v/>
      </c>
      <c r="D55" s="20">
        <f>(Financials!$H$12*$A55/24)*SUMPRODUCT((ROW(INDIRECT("1:24"))/6)*((ROW(INDIRECT("1:24"))/6)&lt;=1)+((ROW(INDIRECT("1:24"))/6)&gt;1)*1)-Financials!$G$12*$B$9-Financials!$B$12*$B$6</f>
        <v/>
      </c>
      <c r="E55" s="20">
        <f>(Financials!$H$12*$A55/24)*SUMPRODUCT((ROW(INDIRECT("1:24"))/9)*((ROW(INDIRECT("1:24"))/9)&lt;=1)+((ROW(INDIRECT("1:24"))/9)&gt;1)*1)-Financials!$G$12*$B$9-Financials!$B$12*$B$6</f>
        <v/>
      </c>
      <c r="F55" s="20">
        <f>(Financials!$H$12*$A55/24)*SUMPRODUCT((ROW(INDIRECT("1:24"))/12)*((ROW(INDIRECT("1:24"))/12)&lt;=1)+((ROW(INDIRECT("1:24"))/12)&gt;1)*1)-Financials!$G$12*$B$9-Financials!$B$12*$B$6</f>
        <v/>
      </c>
      <c r="G55" s="20">
        <f>(Financials!$H$12*$A55/24)*SUMPRODUCT((ROW(INDIRECT("1:24"))/18)*((ROW(INDIRECT("1:24"))/18)&lt;=1)+((ROW(INDIRECT("1:24"))/18)&gt;1)*1)-Financials!$G$12*$B$9-Financials!$B$12*$B$6</f>
        <v/>
      </c>
    </row>
    <row r="56">
      <c r="A56" s="25" t="n">
        <v>0.7</v>
      </c>
      <c r="B56" s="20">
        <f>(Financials!$H$12*$A56/24)*SUMPRODUCT((ROW(INDIRECT("1:24"))/1)*((ROW(INDIRECT("1:24"))/1)&lt;=1)+((ROW(INDIRECT("1:24"))/1)&gt;1)*1)-Financials!$G$12*$B$9-Financials!$B$12*$B$6</f>
        <v/>
      </c>
      <c r="C56" s="20">
        <f>(Financials!$H$12*$A56/24)*SUMPRODUCT((ROW(INDIRECT("1:24"))/3)*((ROW(INDIRECT("1:24"))/3)&lt;=1)+((ROW(INDIRECT("1:24"))/3)&gt;1)*1)-Financials!$G$12*$B$9-Financials!$B$12*$B$6</f>
        <v/>
      </c>
      <c r="D56" s="20">
        <f>(Financials!$H$12*$A56/24)*SUMPRODUCT((ROW(INDIRECT("1:24"))/6)*((ROW(INDIRECT("1:24"))/6)&lt;=1)+((ROW(INDIRECT("1:24"))/6)&gt;1)*1)-Financials!$G$12*$B$9-Financials!$B$12*$B$6</f>
        <v/>
      </c>
      <c r="E56" s="20">
        <f>(Financials!$H$12*$A56/24)*SUMPRODUCT((ROW(INDIRECT("1:24"))/9)*((ROW(INDIRECT("1:24"))/9)&lt;=1)+((ROW(INDIRECT("1:24"))/9)&gt;1)*1)-Financials!$G$12*$B$9-Financials!$B$12*$B$6</f>
        <v/>
      </c>
      <c r="F56" s="20">
        <f>(Financials!$H$12*$A56/24)*SUMPRODUCT((ROW(INDIRECT("1:24"))/12)*((ROW(INDIRECT("1:24"))/12)&lt;=1)+((ROW(INDIRECT("1:24"))/12)&gt;1)*1)-Financials!$G$12*$B$9-Financials!$B$12*$B$6</f>
        <v/>
      </c>
      <c r="G56" s="20">
        <f>(Financials!$H$12*$A56/24)*SUMPRODUCT((ROW(INDIRECT("1:24"))/18)*((ROW(INDIRECT("1:24"))/18)&lt;=1)+((ROW(INDIRECT("1:24"))/18)&gt;1)*1)-Financials!$G$12*$B$9-Financials!$B$12*$B$6</f>
        <v/>
      </c>
    </row>
    <row r="57">
      <c r="A57" s="25" t="n">
        <v>0.6</v>
      </c>
      <c r="B57" s="20">
        <f>(Financials!$H$12*$A57/24)*SUMPRODUCT((ROW(INDIRECT("1:24"))/1)*((ROW(INDIRECT("1:24"))/1)&lt;=1)+((ROW(INDIRECT("1:24"))/1)&gt;1)*1)-Financials!$G$12*$B$9-Financials!$B$12*$B$6</f>
        <v/>
      </c>
      <c r="C57" s="20">
        <f>(Financials!$H$12*$A57/24)*SUMPRODUCT((ROW(INDIRECT("1:24"))/3)*((ROW(INDIRECT("1:24"))/3)&lt;=1)+((ROW(INDIRECT("1:24"))/3)&gt;1)*1)-Financials!$G$12*$B$9-Financials!$B$12*$B$6</f>
        <v/>
      </c>
      <c r="D57" s="20">
        <f>(Financials!$H$12*$A57/24)*SUMPRODUCT((ROW(INDIRECT("1:24"))/6)*((ROW(INDIRECT("1:24"))/6)&lt;=1)+((ROW(INDIRECT("1:24"))/6)&gt;1)*1)-Financials!$G$12*$B$9-Financials!$B$12*$B$6</f>
        <v/>
      </c>
      <c r="E57" s="20">
        <f>(Financials!$H$12*$A57/24)*SUMPRODUCT((ROW(INDIRECT("1:24"))/9)*((ROW(INDIRECT("1:24"))/9)&lt;=1)+((ROW(INDIRECT("1:24"))/9)&gt;1)*1)-Financials!$G$12*$B$9-Financials!$B$12*$B$6</f>
        <v/>
      </c>
      <c r="F57" s="20">
        <f>(Financials!$H$12*$A57/24)*SUMPRODUCT((ROW(INDIRECT("1:24"))/12)*((ROW(INDIRECT("1:24"))/12)&lt;=1)+((ROW(INDIRECT("1:24"))/12)&gt;1)*1)-Financials!$G$12*$B$9-Financials!$B$12*$B$6</f>
        <v/>
      </c>
      <c r="G57" s="20">
        <f>(Financials!$H$12*$A57/24)*SUMPRODUCT((ROW(INDIRECT("1:24"))/18)*((ROW(INDIRECT("1:24"))/18)&lt;=1)+((ROW(INDIRECT("1:24"))/18)&gt;1)*1)-Financials!$G$12*$B$9-Financials!$B$12*$B$6</f>
        <v/>
      </c>
    </row>
  </sheetData>
  <mergeCells count="17">
    <mergeCell ref="A3:N3"/>
    <mergeCell ref="A12:C12"/>
    <mergeCell ref="A19:E19"/>
    <mergeCell ref="E5:F5"/>
    <mergeCell ref="E6:F6"/>
    <mergeCell ref="G5:H5"/>
    <mergeCell ref="G6:H6"/>
    <mergeCell ref="I5:J5"/>
    <mergeCell ref="I6:J6"/>
    <mergeCell ref="K5:L5"/>
    <mergeCell ref="K6:L6"/>
    <mergeCell ref="M5:N5"/>
    <mergeCell ref="M6:N6"/>
    <mergeCell ref="E8:N8"/>
    <mergeCell ref="E9:N9"/>
    <mergeCell ref="A48:G48"/>
    <mergeCell ref="A49:G49"/>
  </mergeCells>
  <conditionalFormatting sqref="B51:G57">
    <cfRule type="colorScale" priority="1">
      <colorScale>
        <cfvo type="min"/>
        <cfvo type="num" val="0"/>
        <cfvo type="max"/>
        <color rgb="00F6C9BC"/>
        <color rgb="00FFF4E8"/>
        <color rgb="00CDE8D8"/>
      </colorScale>
    </cfRule>
  </conditionalFormatting>
  <dataValidations count="5">
    <dataValidation sqref="B6" showErrorMessage="1" showInputMessage="1" allowBlank="0" errorTitle="Out of range" error="Investment multiplier runs from 0.5 to 2." type="decimal" operator="between">
      <formula1>0.5</formula1>
      <formula2>2</formula2>
    </dataValidation>
    <dataValidation sqref="B7" showErrorMessage="1" showInputMessage="1" allowBlank="0" errorTitle="Out of range" error="Benefits realised runs from 0 to 1.2." type="decimal" operator="between">
      <formula1>0</formula1>
      <formula2>1.2</formula2>
    </dataValidation>
    <dataValidation sqref="B8" showErrorMessage="1" showInputMessage="1" allowBlank="0" errorTitle="Out of range" error="Ramp-up, months runs from 1 to 18." type="decimal" operator="between">
      <formula1>1</formula1>
      <formula2>18</formula2>
    </dataValidation>
    <dataValidation sqref="B9" showErrorMessage="1" showInputMessage="1" allowBlank="0" errorTitle="Out of range" error="Operating cost mult. runs from 0.5 to 2." type="decimal" operator="between">
      <formula1>0.5</formula1>
      <formula2>2</formula2>
    </dataValidation>
    <dataValidation sqref="B10" showErrorMessage="1" showInputMessage="1" allowBlank="0" errorTitle="Out of range" error="Readiness shift, pts runs from -25 to 25." type="decimal" operator="between">
      <formula1>-25</formula1>
      <formula2>25</formula2>
    </dataValidation>
  </dataValidations>
  <pageMargins left="0.75" right="0.75" top="1" bottom="1" header="0.5" footer="0.5"/>
  <pageSetup orientation="landscape" fitToWidth="1"/>
  <drawing xmlns:r="http://schemas.openxmlformats.org/officeDocument/2006/relationships" r:id="rId1"/>
</worksheet>
</file>

<file path=xl/worksheets/sheet4.xml><?xml version="1.0" encoding="utf-8"?>
<worksheet xmlns="http://schemas.openxmlformats.org/spreadsheetml/2006/main">
  <sheetPr>
    <tabColor rgb="00E2571B"/>
    <outlinePr summaryBelow="1" summaryRight="1"/>
    <pageSetUpPr fitToPage="1"/>
  </sheetPr>
  <dimension ref="A1:F64"/>
  <sheetViews>
    <sheetView showGridLines="1" workbookViewId="0">
      <pane ySplit="4" topLeftCell="A5" activePane="bottomLeft" state="frozen"/>
      <selection pane="bottomLeft" activeCell="A1" sqref="A1"/>
    </sheetView>
  </sheetViews>
  <sheetFormatPr baseColWidth="8" defaultRowHeight="15"/>
  <cols>
    <col width="42" customWidth="1" min="1" max="1"/>
    <col width="8" customWidth="1" min="2" max="2"/>
    <col width="8" customWidth="1" min="3" max="3"/>
    <col width="8" customWidth="1" min="4" max="4"/>
    <col width="54" customWidth="1" min="5" max="5"/>
    <col width="20" customWidth="1" min="6" max="6"/>
  </cols>
  <sheetData>
    <row r="1" ht="16" customHeight="1">
      <c r="A1" s="1" t="inlineStr">
        <is>
          <t>STEP 1</t>
        </is>
      </c>
    </row>
    <row r="2" ht="30" customHeight="1">
      <c r="A2" s="2" t="inlineStr">
        <is>
          <t>Pillar assessment</t>
        </is>
      </c>
    </row>
    <row r="3" ht="34" customHeight="1">
      <c r="A3" s="3" t="inlineStr">
        <is>
          <t>Score each area 0–5 as it is today and where it needs to be. Averages, gaps and every chart update as you type. Peach cells are yours; cream cells are calculated.</t>
        </is>
      </c>
    </row>
    <row r="4" ht="8" customHeight="1"/>
    <row r="5" ht="22" customHeight="1">
      <c r="A5" s="10" t="inlineStr">
        <is>
          <t>People</t>
        </is>
      </c>
      <c r="B5" s="10" t="n"/>
      <c r="C5" s="10" t="n"/>
      <c r="D5" s="10" t="n"/>
      <c r="E5" s="10" t="n"/>
      <c r="F5" s="10" t="n"/>
    </row>
    <row r="6" ht="32" customHeight="1">
      <c r="A6" s="12" t="inlineStr">
        <is>
          <t>Assessment area</t>
        </is>
      </c>
      <c r="B6" s="13" t="inlineStr">
        <is>
          <t>Now</t>
        </is>
      </c>
      <c r="C6" s="13" t="inlineStr">
        <is>
          <t>Target</t>
        </is>
      </c>
      <c r="D6" s="13" t="inlineStr">
        <is>
          <t>Gap</t>
        </is>
      </c>
      <c r="E6" s="13" t="inlineStr">
        <is>
          <t>Actions required</t>
        </is>
      </c>
      <c r="F6" s="13" t="inlineStr">
        <is>
          <t>Owner</t>
        </is>
      </c>
    </row>
    <row r="7" ht="35" customHeight="1">
      <c r="A7" s="14" t="inlineStr">
        <is>
          <t>Skills &amp; Competencies</t>
        </is>
      </c>
      <c r="B7" s="15" t="n">
        <v>2</v>
      </c>
      <c r="C7" s="15" t="n">
        <v>5</v>
      </c>
      <c r="D7" s="19">
        <f>C7-B7</f>
        <v/>
      </c>
      <c r="E7" s="11" t="inlineStr">
        <is>
          <t>Upskilling programs, AI certification courses, role-based training</t>
        </is>
      </c>
      <c r="F7" s="14" t="inlineStr">
        <is>
          <t>HR Lead</t>
        </is>
      </c>
    </row>
    <row r="8" ht="35" customHeight="1">
      <c r="A8" s="16" t="inlineStr">
        <is>
          <t>Change Management Readiness</t>
        </is>
      </c>
      <c r="B8" s="15" t="n">
        <v>2</v>
      </c>
      <c r="C8" s="15" t="n">
        <v>4</v>
      </c>
      <c r="D8" s="21">
        <f>C8-B8</f>
        <v/>
      </c>
      <c r="E8" s="17" t="inlineStr">
        <is>
          <t>Adoption incentive program, feedback loops, success story sharing</t>
        </is>
      </c>
      <c r="F8" s="16" t="inlineStr">
        <is>
          <t>Change Manager</t>
        </is>
      </c>
    </row>
    <row r="9" ht="35" customHeight="1">
      <c r="A9" s="14" t="inlineStr">
        <is>
          <t>Leadership Buy-in</t>
        </is>
      </c>
      <c r="B9" s="15" t="n">
        <v>4</v>
      </c>
      <c r="C9" s="15" t="n">
        <v>5</v>
      </c>
      <c r="D9" s="19">
        <f>C9-B9</f>
        <v/>
      </c>
      <c r="E9" s="11" t="inlineStr">
        <is>
          <t>Executive alignment sessions, vision reinforcement, quarterly reviews</t>
        </is>
      </c>
      <c r="F9" s="14" t="inlineStr">
        <is>
          <t>CIO/CDO</t>
        </is>
      </c>
    </row>
    <row r="10" ht="35" customHeight="1">
      <c r="A10" s="16" t="inlineStr">
        <is>
          <t>Talent Attraction/Retention</t>
        </is>
      </c>
      <c r="B10" s="15" t="n">
        <v>2</v>
      </c>
      <c r="C10" s="15" t="n">
        <v>4</v>
      </c>
      <c r="D10" s="21">
        <f>C10-B10</f>
        <v/>
      </c>
      <c r="E10" s="17" t="inlineStr">
        <is>
          <t>Competitive compensation, career pathing, innovation roles</t>
        </is>
      </c>
      <c r="F10" s="16" t="inlineStr">
        <is>
          <t>HR Lead</t>
        </is>
      </c>
    </row>
    <row r="11" ht="35" customHeight="1">
      <c r="A11" s="14" t="inlineStr">
        <is>
          <t>Cultural Mindset</t>
        </is>
      </c>
      <c r="B11" s="15" t="n">
        <v>3</v>
      </c>
      <c r="C11" s="15" t="n">
        <v>5</v>
      </c>
      <c r="D11" s="19">
        <f>C11-B11</f>
        <v/>
      </c>
      <c r="E11" s="11" t="inlineStr">
        <is>
          <t>Innovation culture initiatives, hackathons, experimentation labs</t>
        </is>
      </c>
      <c r="F11" s="14" t="inlineStr">
        <is>
          <t>CEO/COO</t>
        </is>
      </c>
    </row>
    <row r="12" ht="35" customHeight="1">
      <c r="A12" s="16" t="inlineStr">
        <is>
          <t>Team Collaboration</t>
        </is>
      </c>
      <c r="B12" s="15" t="n">
        <v>3</v>
      </c>
      <c r="C12" s="15" t="n">
        <v>4</v>
      </c>
      <c r="D12" s="21">
        <f>C12-B12</f>
        <v/>
      </c>
      <c r="E12" s="17" t="inlineStr">
        <is>
          <t>Cross-functional AI pods, shared OKRs, collaboration tools</t>
        </is>
      </c>
      <c r="F12" s="16" t="inlineStr">
        <is>
          <t>Team Leads</t>
        </is>
      </c>
    </row>
    <row r="13" ht="35" customHeight="1">
      <c r="A13" s="14" t="inlineStr">
        <is>
          <t>Adoption Incentive Structure</t>
        </is>
      </c>
      <c r="B13" s="15" t="n">
        <v>0</v>
      </c>
      <c r="C13" s="15" t="n">
        <v>5</v>
      </c>
      <c r="D13" s="19">
        <f>C13-B13</f>
        <v/>
      </c>
      <c r="E13" s="11" t="inlineStr">
        <is>
          <t>Design &amp; launch bonus/promotion criteria tied to AI adoption metrics</t>
        </is>
      </c>
      <c r="F13" s="14" t="inlineStr">
        <is>
          <t>HR/Change Manager</t>
        </is>
      </c>
    </row>
    <row r="14" ht="35" customHeight="1">
      <c r="A14" s="16" t="inlineStr">
        <is>
          <t>User Adoption Metrics (WAU/CSAT)</t>
        </is>
      </c>
      <c r="B14" s="15" t="n">
        <v>1</v>
      </c>
      <c r="C14" s="15" t="n">
        <v>5</v>
      </c>
      <c r="D14" s="21">
        <f>C14-B14</f>
        <v/>
      </c>
      <c r="E14" s="17" t="inlineStr">
        <is>
          <t>Implement tracking for weekly active users, CSAT &gt;4.2/5 target</t>
        </is>
      </c>
      <c r="F14" s="16" t="inlineStr">
        <is>
          <t>Change Manager</t>
        </is>
      </c>
    </row>
    <row r="15" ht="35" customHeight="1">
      <c r="A15" s="14" t="inlineStr">
        <is>
          <t>Center of Excellence Readiness</t>
        </is>
      </c>
      <c r="B15" s="15" t="n">
        <v>0</v>
      </c>
      <c r="C15" s="15" t="n">
        <v>5</v>
      </c>
      <c r="D15" s="19">
        <f>C15-B15</f>
        <v/>
      </c>
      <c r="E15" s="11" t="inlineStr">
        <is>
          <t>Define CoE structure, appoint Chief AI Officer, budget allocation</t>
        </is>
      </c>
      <c r="F15" s="14" t="inlineStr">
        <is>
          <t>CIO</t>
        </is>
      </c>
    </row>
    <row r="16">
      <c r="A16" s="26" t="inlineStr">
        <is>
          <t>People average</t>
        </is>
      </c>
      <c r="B16" s="27">
        <f>AVERAGE(B7:B15)</f>
        <v/>
      </c>
      <c r="C16" s="27">
        <f>AVERAGE(C7:C15)</f>
        <v/>
      </c>
      <c r="D16" s="27">
        <f>C16-B16</f>
        <v/>
      </c>
      <c r="E16" s="26" t="inlineStr"/>
      <c r="F16" s="26" t="inlineStr"/>
    </row>
    <row r="18" ht="22" customHeight="1">
      <c r="A18" s="10" t="inlineStr">
        <is>
          <t>Process</t>
        </is>
      </c>
      <c r="B18" s="10" t="n"/>
      <c r="C18" s="10" t="n"/>
      <c r="D18" s="10" t="n"/>
      <c r="E18" s="10" t="n"/>
      <c r="F18" s="10" t="n"/>
    </row>
    <row r="19" ht="32" customHeight="1">
      <c r="A19" s="12" t="inlineStr">
        <is>
          <t>Assessment area</t>
        </is>
      </c>
      <c r="B19" s="13" t="inlineStr">
        <is>
          <t>Now</t>
        </is>
      </c>
      <c r="C19" s="13" t="inlineStr">
        <is>
          <t>Target</t>
        </is>
      </c>
      <c r="D19" s="13" t="inlineStr">
        <is>
          <t>Gap</t>
        </is>
      </c>
      <c r="E19" s="13" t="inlineStr">
        <is>
          <t>Actions required</t>
        </is>
      </c>
      <c r="F19" s="13" t="inlineStr">
        <is>
          <t>Owner</t>
        </is>
      </c>
    </row>
    <row r="20" ht="35" customHeight="1">
      <c r="A20" s="14" t="inlineStr">
        <is>
          <t>Decision-Making Frameworks</t>
        </is>
      </c>
      <c r="B20" s="15" t="n">
        <v>2</v>
      </c>
      <c r="C20" s="15" t="n">
        <v>5</v>
      </c>
      <c r="D20" s="19">
        <f>C20-B20</f>
        <v/>
      </c>
      <c r="E20" s="11" t="inlineStr">
        <is>
          <t>Define AI decision tree, governance model, approval workflows</t>
        </is>
      </c>
      <c r="F20" s="14" t="inlineStr">
        <is>
          <t>COO</t>
        </is>
      </c>
    </row>
    <row r="21" ht="35" customHeight="1">
      <c r="A21" s="16" t="inlineStr">
        <is>
          <t>Data Governance</t>
        </is>
      </c>
      <c r="B21" s="15" t="n">
        <v>2</v>
      </c>
      <c r="C21" s="15" t="n">
        <v>4</v>
      </c>
      <c r="D21" s="21">
        <f>C21-B21</f>
        <v/>
      </c>
      <c r="E21" s="17" t="inlineStr">
        <is>
          <t>Data strategy, quality standards, ownership model, stewardship roles</t>
        </is>
      </c>
      <c r="F21" s="16" t="inlineStr">
        <is>
          <t>CDO</t>
        </is>
      </c>
    </row>
    <row r="22" ht="35" customHeight="1">
      <c r="A22" s="14" t="inlineStr">
        <is>
          <t>Risk Management</t>
        </is>
      </c>
      <c r="B22" s="15" t="n">
        <v>3</v>
      </c>
      <c r="C22" s="15" t="n">
        <v>5</v>
      </c>
      <c r="D22" s="19">
        <f>C22-B22</f>
        <v/>
      </c>
      <c r="E22" s="11" t="inlineStr">
        <is>
          <t>Risk assessment, mitigation framework, risk register, escalation paths</t>
        </is>
      </c>
      <c r="F22" s="14" t="inlineStr">
        <is>
          <t>Risk Officer</t>
        </is>
      </c>
    </row>
    <row r="23" ht="35" customHeight="1">
      <c r="A23" s="16" t="inlineStr">
        <is>
          <t>Process Standardization</t>
        </is>
      </c>
      <c r="B23" s="15" t="n">
        <v>2</v>
      </c>
      <c r="C23" s="15" t="n">
        <v>4</v>
      </c>
      <c r="D23" s="21">
        <f>C23-B23</f>
        <v/>
      </c>
      <c r="E23" s="17" t="inlineStr">
        <is>
          <t>Document core processes, create playbooks, standardized templates</t>
        </is>
      </c>
      <c r="F23" s="16" t="inlineStr">
        <is>
          <t>Process Lead</t>
        </is>
      </c>
    </row>
    <row r="24" ht="35" customHeight="1">
      <c r="A24" s="14" t="inlineStr">
        <is>
          <t>Governance Structure &amp; RACI</t>
        </is>
      </c>
      <c r="B24" s="15" t="n">
        <v>2</v>
      </c>
      <c r="C24" s="15" t="n">
        <v>5</v>
      </c>
      <c r="D24" s="19">
        <f>C24-B24</f>
        <v/>
      </c>
      <c r="E24" s="11" t="inlineStr">
        <is>
          <t>AI governance committee, clear RACI matrix, decision authority</t>
        </is>
      </c>
      <c r="F24" s="14" t="inlineStr">
        <is>
          <t>CIO</t>
        </is>
      </c>
    </row>
    <row r="25" ht="35" customHeight="1">
      <c r="A25" s="16" t="inlineStr">
        <is>
          <t>Vendor Management</t>
        </is>
      </c>
      <c r="B25" s="15" t="n">
        <v>3</v>
      </c>
      <c r="C25" s="15" t="n">
        <v>4</v>
      </c>
      <c r="D25" s="21">
        <f>C25-B25</f>
        <v/>
      </c>
      <c r="E25" s="17" t="inlineStr">
        <is>
          <t>Partner ecosystem, SLA definitions, vendor risk assessments</t>
        </is>
      </c>
      <c r="F25" s="16" t="inlineStr">
        <is>
          <t>Procurement</t>
        </is>
      </c>
    </row>
    <row r="26" ht="35" customHeight="1">
      <c r="A26" s="14" t="inlineStr">
        <is>
          <t>Compliance &amp; Ethics</t>
        </is>
      </c>
      <c r="B26" s="15" t="n">
        <v>2</v>
      </c>
      <c r="C26" s="15" t="n">
        <v>5</v>
      </c>
      <c r="D26" s="19">
        <f>C26-B26</f>
        <v/>
      </c>
      <c r="E26" s="11" t="inlineStr">
        <is>
          <t>Ethics board, responsible AI framework, regulatory compliance plan</t>
        </is>
      </c>
      <c r="F26" s="14" t="inlineStr">
        <is>
          <t>Legal/Risk</t>
        </is>
      </c>
    </row>
    <row r="27" ht="35" customHeight="1">
      <c r="A27" s="16" t="inlineStr">
        <is>
          <t>Change Management Processes</t>
        </is>
      </c>
      <c r="B27" s="15" t="n">
        <v>1</v>
      </c>
      <c r="C27" s="15" t="n">
        <v>5</v>
      </c>
      <c r="D27" s="21">
        <f>C27-B27</f>
        <v/>
      </c>
      <c r="E27" s="17" t="inlineStr">
        <is>
          <t>Adoption incentives, feedback loops, communication cadence, issue tracking</t>
        </is>
      </c>
      <c r="F27" s="16" t="inlineStr">
        <is>
          <t>Change Manager</t>
        </is>
      </c>
    </row>
    <row r="28" ht="35" customHeight="1">
      <c r="A28" s="14" t="inlineStr">
        <is>
          <t>Responsible AI Governance Gates</t>
        </is>
      </c>
      <c r="B28" s="15" t="n">
        <v>0</v>
      </c>
      <c r="C28" s="15" t="n">
        <v>5</v>
      </c>
      <c r="D28" s="19">
        <f>C28-B28</f>
        <v/>
      </c>
      <c r="E28" s="11" t="inlineStr">
        <is>
          <t>Ethics review process, bias assessment, model card requirements, audit trails</t>
        </is>
      </c>
      <c r="F28" s="14" t="inlineStr">
        <is>
          <t>Legal/Ethics</t>
        </is>
      </c>
    </row>
    <row r="29">
      <c r="A29" s="26" t="inlineStr">
        <is>
          <t>Process average</t>
        </is>
      </c>
      <c r="B29" s="27">
        <f>AVERAGE(B20:B28)</f>
        <v/>
      </c>
      <c r="C29" s="27">
        <f>AVERAGE(C20:C28)</f>
        <v/>
      </c>
      <c r="D29" s="27">
        <f>C29-B29</f>
        <v/>
      </c>
      <c r="E29" s="26" t="inlineStr"/>
      <c r="F29" s="26" t="inlineStr"/>
    </row>
    <row r="31" ht="22" customHeight="1">
      <c r="A31" s="10" t="inlineStr">
        <is>
          <t>Technology</t>
        </is>
      </c>
      <c r="B31" s="10" t="n"/>
      <c r="C31" s="10" t="n"/>
      <c r="D31" s="10" t="n"/>
      <c r="E31" s="10" t="n"/>
      <c r="F31" s="10" t="n"/>
    </row>
    <row r="32" ht="32" customHeight="1">
      <c r="A32" s="12" t="inlineStr">
        <is>
          <t>Assessment area</t>
        </is>
      </c>
      <c r="B32" s="13" t="inlineStr">
        <is>
          <t>Now</t>
        </is>
      </c>
      <c r="C32" s="13" t="inlineStr">
        <is>
          <t>Target</t>
        </is>
      </c>
      <c r="D32" s="13" t="inlineStr">
        <is>
          <t>Gap</t>
        </is>
      </c>
      <c r="E32" s="13" t="inlineStr">
        <is>
          <t>Actions required</t>
        </is>
      </c>
      <c r="F32" s="13" t="inlineStr">
        <is>
          <t>Owner</t>
        </is>
      </c>
    </row>
    <row r="33" ht="35" customHeight="1">
      <c r="A33" s="14" t="inlineStr">
        <is>
          <t>Infrastructure &amp; Cloud</t>
        </is>
      </c>
      <c r="B33" s="15" t="n">
        <v>2</v>
      </c>
      <c r="C33" s="15" t="n">
        <v>5</v>
      </c>
      <c r="D33" s="19">
        <f>C33-B33</f>
        <v/>
      </c>
      <c r="E33" s="11" t="inlineStr">
        <is>
          <t>Cloud migration, scalable infrastructure, multi-region capability</t>
        </is>
      </c>
      <c r="F33" s="14" t="inlineStr">
        <is>
          <t>IT Lead</t>
        </is>
      </c>
    </row>
    <row r="34" ht="20" customHeight="1">
      <c r="A34" s="16" t="inlineStr">
        <is>
          <t>Data &amp; Analytics Capability</t>
        </is>
      </c>
      <c r="B34" s="15" t="n">
        <v>2</v>
      </c>
      <c r="C34" s="15" t="n">
        <v>5</v>
      </c>
      <c r="D34" s="21">
        <f>C34-B34</f>
        <v/>
      </c>
      <c r="E34" s="17" t="inlineStr">
        <is>
          <t>Data warehouse, analytics platform, real-time streaming</t>
        </is>
      </c>
      <c r="F34" s="16" t="inlineStr">
        <is>
          <t>Data Lead</t>
        </is>
      </c>
    </row>
    <row r="35" ht="20" customHeight="1">
      <c r="A35" s="14" t="inlineStr">
        <is>
          <t>AI/ML Tools &amp; Platforms</t>
        </is>
      </c>
      <c r="B35" s="15" t="n">
        <v>1</v>
      </c>
      <c r="C35" s="15" t="n">
        <v>5</v>
      </c>
      <c r="D35" s="19">
        <f>C35-B35</f>
        <v/>
      </c>
      <c r="E35" s="11" t="inlineStr">
        <is>
          <t>ML platform selection, MLOps setup, model registry</t>
        </is>
      </c>
      <c r="F35" s="14" t="inlineStr">
        <is>
          <t>Data Lead</t>
        </is>
      </c>
    </row>
    <row r="36" ht="35" customHeight="1">
      <c r="A36" s="16" t="inlineStr">
        <is>
          <t>MLOps &amp; Deployment Pipeline</t>
        </is>
      </c>
      <c r="B36" s="15" t="n">
        <v>1</v>
      </c>
      <c r="C36" s="15" t="n">
        <v>5</v>
      </c>
      <c r="D36" s="21">
        <f>C36-B36</f>
        <v/>
      </c>
      <c r="E36" s="17" t="inlineStr">
        <is>
          <t>CI/CD for ML, automated testing, model versioning, rollback capability</t>
        </is>
      </c>
      <c r="F36" s="16" t="inlineStr">
        <is>
          <t>DevOps Lead</t>
        </is>
      </c>
    </row>
    <row r="37" ht="35" customHeight="1">
      <c r="A37" s="14" t="inlineStr">
        <is>
          <t>Integration &amp; APIs</t>
        </is>
      </c>
      <c r="B37" s="15" t="n">
        <v>2</v>
      </c>
      <c r="C37" s="15" t="n">
        <v>4</v>
      </c>
      <c r="D37" s="19">
        <f>C37-B37</f>
        <v/>
      </c>
      <c r="E37" s="11" t="inlineStr">
        <is>
          <t>API-first architecture, system integration, microservices</t>
        </is>
      </c>
      <c r="F37" s="14" t="inlineStr">
        <is>
          <t>Tech Lead</t>
        </is>
      </c>
    </row>
    <row r="38" ht="35" customHeight="1">
      <c r="A38" s="16" t="inlineStr">
        <is>
          <t>Security &amp; Data Privacy</t>
        </is>
      </c>
      <c r="B38" s="15" t="n">
        <v>3</v>
      </c>
      <c r="C38" s="15" t="n">
        <v>5</v>
      </c>
      <c r="D38" s="21">
        <f>C38-B38</f>
        <v/>
      </c>
      <c r="E38" s="17" t="inlineStr">
        <is>
          <t>Security hardening, encryption, GDPR, access controls, audit logs</t>
        </is>
      </c>
      <c r="F38" s="16" t="inlineStr">
        <is>
          <t>Security Lead</t>
        </is>
      </c>
    </row>
    <row r="39" ht="35" customHeight="1">
      <c r="A39" s="14" t="inlineStr">
        <is>
          <t>Monitoring &amp; Observability</t>
        </is>
      </c>
      <c r="B39" s="15" t="n">
        <v>1</v>
      </c>
      <c r="C39" s="15" t="n">
        <v>4</v>
      </c>
      <c r="D39" s="19">
        <f>C39-B39</f>
        <v/>
      </c>
      <c r="E39" s="11" t="inlineStr">
        <is>
          <t>Logging, monitoring, alerting, drift detection, performance tracking</t>
        </is>
      </c>
      <c r="F39" s="14" t="inlineStr">
        <is>
          <t>DevOps Lead</t>
        </is>
      </c>
    </row>
    <row r="40" ht="35" customHeight="1">
      <c r="A40" s="16" t="inlineStr">
        <is>
          <t>Model Monitoring &amp; Drift Detection</t>
        </is>
      </c>
      <c r="B40" s="15" t="n">
        <v>0</v>
      </c>
      <c r="C40" s="15" t="n">
        <v>5</v>
      </c>
      <c r="D40" s="21">
        <f>C40-B40</f>
        <v/>
      </c>
      <c r="E40" s="17" t="inlineStr">
        <is>
          <t>Automated drift detection, performance degradation alerts, retraining triggers</t>
        </is>
      </c>
      <c r="F40" s="16" t="inlineStr">
        <is>
          <t>Data Lead</t>
        </is>
      </c>
    </row>
    <row r="41" ht="35" customHeight="1">
      <c r="A41" s="14" t="inlineStr">
        <is>
          <t>Vendor Technology Stack</t>
        </is>
      </c>
      <c r="B41" s="15" t="n">
        <v>2</v>
      </c>
      <c r="C41" s="15" t="n">
        <v>4</v>
      </c>
      <c r="D41" s="19">
        <f>C41-B41</f>
        <v/>
      </c>
      <c r="E41" s="11" t="inlineStr">
        <is>
          <t>Tool evaluation, licensing, partnerships, multi-vendor strategy</t>
        </is>
      </c>
      <c r="F41" s="14" t="inlineStr">
        <is>
          <t>Procurement</t>
        </is>
      </c>
    </row>
    <row r="42">
      <c r="A42" s="26" t="inlineStr">
        <is>
          <t>Technology average</t>
        </is>
      </c>
      <c r="B42" s="27">
        <f>AVERAGE(B33:B41)</f>
        <v/>
      </c>
      <c r="C42" s="27">
        <f>AVERAGE(C33:C41)</f>
        <v/>
      </c>
      <c r="D42" s="27">
        <f>C42-B42</f>
        <v/>
      </c>
      <c r="E42" s="26" t="inlineStr"/>
      <c r="F42" s="26" t="inlineStr"/>
    </row>
    <row r="44" ht="22" customHeight="1">
      <c r="A44" s="10" t="inlineStr">
        <is>
          <t>Responsible AI</t>
        </is>
      </c>
      <c r="B44" s="10" t="n"/>
      <c r="C44" s="10" t="n"/>
      <c r="D44" s="10" t="n"/>
      <c r="E44" s="10" t="n"/>
      <c r="F44" s="10" t="n"/>
    </row>
    <row r="45" ht="32" customHeight="1">
      <c r="A45" s="12" t="inlineStr">
        <is>
          <t>Assessment area</t>
        </is>
      </c>
      <c r="B45" s="13" t="inlineStr">
        <is>
          <t>Now</t>
        </is>
      </c>
      <c r="C45" s="13" t="inlineStr">
        <is>
          <t>Target</t>
        </is>
      </c>
      <c r="D45" s="13" t="inlineStr">
        <is>
          <t>Gap</t>
        </is>
      </c>
      <c r="E45" s="13" t="inlineStr">
        <is>
          <t>Actions required</t>
        </is>
      </c>
      <c r="F45" s="13" t="inlineStr">
        <is>
          <t>Owner</t>
        </is>
      </c>
    </row>
    <row r="46" ht="35" customHeight="1">
      <c r="A46" s="14" t="inlineStr">
        <is>
          <t>Bias Detection &amp; Fairness Framework</t>
        </is>
      </c>
      <c r="B46" s="15" t="n">
        <v>0</v>
      </c>
      <c r="C46" s="15" t="n">
        <v>5</v>
      </c>
      <c r="D46" s="19">
        <f>C46-B46</f>
        <v/>
      </c>
      <c r="E46" s="11" t="inlineStr">
        <is>
          <t>Fairness testing methodology, bias assessment tool, remediation process</t>
        </is>
      </c>
      <c r="F46" s="14" t="inlineStr">
        <is>
          <t>Data Lead</t>
        </is>
      </c>
    </row>
    <row r="47" ht="35" customHeight="1">
      <c r="A47" s="16" t="inlineStr">
        <is>
          <t>Model Explainability (XAI)</t>
        </is>
      </c>
      <c r="B47" s="15" t="n">
        <v>1</v>
      </c>
      <c r="C47" s="15" t="n">
        <v>5</v>
      </c>
      <c r="D47" s="21">
        <f>C47-B47</f>
        <v/>
      </c>
      <c r="E47" s="17" t="inlineStr">
        <is>
          <t>LIME/SHAP implementation, model card standards, decision transparency</t>
        </is>
      </c>
      <c r="F47" s="16" t="inlineStr">
        <is>
          <t>Data Lead</t>
        </is>
      </c>
    </row>
    <row r="48" ht="35" customHeight="1">
      <c r="A48" s="14" t="inlineStr">
        <is>
          <t>Ethical AI Governance Board</t>
        </is>
      </c>
      <c r="B48" s="15" t="n">
        <v>0</v>
      </c>
      <c r="C48" s="15" t="n">
        <v>5</v>
      </c>
      <c r="D48" s="19">
        <f>C48-B48</f>
        <v/>
      </c>
      <c r="E48" s="11" t="inlineStr">
        <is>
          <t>Board charter, ethics principles, quarterly reviews, authority defined</t>
        </is>
      </c>
      <c r="F48" s="14" t="inlineStr">
        <is>
          <t>Legal/CEO</t>
        </is>
      </c>
    </row>
    <row r="49" ht="35" customHeight="1">
      <c r="A49" s="16" t="inlineStr">
        <is>
          <t>Hallucination &amp; Drift Monitoring</t>
        </is>
      </c>
      <c r="B49" s="15" t="n">
        <v>0</v>
      </c>
      <c r="C49" s="15" t="n">
        <v>5</v>
      </c>
      <c r="D49" s="21">
        <f>C49-B49</f>
        <v/>
      </c>
      <c r="E49" s="17" t="inlineStr">
        <is>
          <t>Automated drift detection, output validation, retraining triggers</t>
        </is>
      </c>
      <c r="F49" s="16" t="inlineStr">
        <is>
          <t>DevOps/Data Lead</t>
        </is>
      </c>
    </row>
    <row r="50" ht="35" customHeight="1">
      <c r="A50" s="14" t="inlineStr">
        <is>
          <t>Regulatory Compliance Framework</t>
        </is>
      </c>
      <c r="B50" s="15" t="n">
        <v>2</v>
      </c>
      <c r="C50" s="15" t="n">
        <v>5</v>
      </c>
      <c r="D50" s="19">
        <f>C50-B50</f>
        <v/>
      </c>
      <c r="E50" s="11" t="inlineStr">
        <is>
          <t>EU AI Act mapping, India AI rules, industry-specific (BFSI/Healthcare)</t>
        </is>
      </c>
      <c r="F50" s="14" t="inlineStr">
        <is>
          <t>Legal/Risk</t>
        </is>
      </c>
    </row>
    <row r="51" ht="35" customHeight="1">
      <c r="A51" s="16" t="inlineStr">
        <is>
          <t>Privacy &amp; Data Protection</t>
        </is>
      </c>
      <c r="B51" s="15" t="n">
        <v>3</v>
      </c>
      <c r="C51" s="15" t="n">
        <v>5</v>
      </c>
      <c r="D51" s="21">
        <f>C51-B51</f>
        <v/>
      </c>
      <c r="E51" s="17" t="inlineStr">
        <is>
          <t>GDPR/DPA compliance, consent management, data minimization, anonymization</t>
        </is>
      </c>
      <c r="F51" s="16" t="inlineStr">
        <is>
          <t>Legal/Security</t>
        </is>
      </c>
    </row>
    <row r="52" ht="35" customHeight="1">
      <c r="A52" s="14" t="inlineStr">
        <is>
          <t>Model Documentation &amp; Card Standards</t>
        </is>
      </c>
      <c r="B52" s="15" t="n">
        <v>0</v>
      </c>
      <c r="C52" s="15" t="n">
        <v>5</v>
      </c>
      <c r="D52" s="19">
        <f>C52-B52</f>
        <v/>
      </c>
      <c r="E52" s="11" t="inlineStr">
        <is>
          <t>Model card template, lineage tracking, training data documentation</t>
        </is>
      </c>
      <c r="F52" s="14" t="inlineStr">
        <is>
          <t>Data Lead</t>
        </is>
      </c>
    </row>
    <row r="53" ht="35" customHeight="1">
      <c r="A53" s="16" t="inlineStr">
        <is>
          <t>Third-Party Vendor Risk Assessment</t>
        </is>
      </c>
      <c r="B53" s="15" t="n">
        <v>1</v>
      </c>
      <c r="C53" s="15" t="n">
        <v>5</v>
      </c>
      <c r="D53" s="21">
        <f>C53-B53</f>
        <v/>
      </c>
      <c r="E53" s="17" t="inlineStr">
        <is>
          <t>Vendor due diligence, contract review, responsible AI commitments</t>
        </is>
      </c>
      <c r="F53" s="16" t="inlineStr">
        <is>
          <t>Procurement</t>
        </is>
      </c>
    </row>
    <row r="54" ht="35" customHeight="1">
      <c r="A54" s="14" t="inlineStr">
        <is>
          <t>Audit Trail &amp; Accountability</t>
        </is>
      </c>
      <c r="B54" s="15" t="n">
        <v>1</v>
      </c>
      <c r="C54" s="15" t="n">
        <v>5</v>
      </c>
      <c r="D54" s="19">
        <f>C54-B54</f>
        <v/>
      </c>
      <c r="E54" s="11" t="inlineStr">
        <is>
          <t>Model versioning, decision logging, accountability matrix, incident response</t>
        </is>
      </c>
      <c r="F54" s="14" t="inlineStr">
        <is>
          <t>Legal/Risk</t>
        </is>
      </c>
    </row>
    <row r="55">
      <c r="A55" s="26" t="inlineStr">
        <is>
          <t>Responsible AI average</t>
        </is>
      </c>
      <c r="B55" s="27">
        <f>AVERAGE(B46:B54)</f>
        <v/>
      </c>
      <c r="C55" s="27">
        <f>AVERAGE(C46:C54)</f>
        <v/>
      </c>
      <c r="D55" s="27">
        <f>C55-B55</f>
        <v/>
      </c>
      <c r="E55" s="26" t="inlineStr"/>
      <c r="F55" s="26" t="inlineStr"/>
    </row>
    <row r="58" ht="22" customHeight="1">
      <c r="A58" s="10" t="inlineStr">
        <is>
          <t>Chart data — calculated, leave alone</t>
        </is>
      </c>
      <c r="B58" s="10" t="n"/>
      <c r="C58" s="10" t="n"/>
      <c r="D58" s="10" t="n"/>
      <c r="E58" s="10" t="n"/>
      <c r="F58" s="10" t="n"/>
    </row>
    <row r="59" ht="32" customHeight="1">
      <c r="A59" s="12" t="inlineStr">
        <is>
          <t>Pillar</t>
        </is>
      </c>
      <c r="B59" s="13" t="inlineStr">
        <is>
          <t>Now</t>
        </is>
      </c>
      <c r="C59" s="13" t="inlineStr">
        <is>
          <t>Target</t>
        </is>
      </c>
    </row>
    <row r="60">
      <c r="A60" s="14" t="inlineStr">
        <is>
          <t>People</t>
        </is>
      </c>
      <c r="B60" s="28">
        <f>Pillars!$B$16</f>
        <v/>
      </c>
      <c r="C60" s="28">
        <f>Pillars!$C$16</f>
        <v/>
      </c>
    </row>
    <row r="61">
      <c r="A61" s="14" t="inlineStr">
        <is>
          <t>Process</t>
        </is>
      </c>
      <c r="B61" s="28">
        <f>Pillars!$B$29</f>
        <v/>
      </c>
      <c r="C61" s="28">
        <f>Pillars!$C$29</f>
        <v/>
      </c>
    </row>
    <row r="62">
      <c r="A62" s="14" t="inlineStr">
        <is>
          <t>Technology</t>
        </is>
      </c>
      <c r="B62" s="28">
        <f>Pillars!$B$42</f>
        <v/>
      </c>
      <c r="C62" s="28">
        <f>Pillars!$C$42</f>
        <v/>
      </c>
    </row>
    <row r="63">
      <c r="A63" s="14" t="inlineStr">
        <is>
          <t>Responsible AI</t>
        </is>
      </c>
      <c r="B63" s="28">
        <f>Pillars!$B$55</f>
        <v/>
      </c>
      <c r="C63" s="28">
        <f>Pillars!$C$55</f>
        <v/>
      </c>
    </row>
    <row r="64">
      <c r="A64" s="26" t="inlineStr">
        <is>
          <t>Overall</t>
        </is>
      </c>
      <c r="B64" s="27">
        <f>AVERAGE(B60:B63)</f>
        <v/>
      </c>
      <c r="C64" s="27">
        <f>AVERAGE(C60:C63)</f>
        <v/>
      </c>
    </row>
  </sheetData>
  <mergeCells count="6">
    <mergeCell ref="A3:F3"/>
    <mergeCell ref="A5:F5"/>
    <mergeCell ref="A18:F18"/>
    <mergeCell ref="A31:F31"/>
    <mergeCell ref="A44:F44"/>
    <mergeCell ref="A58:F58"/>
  </mergeCells>
  <conditionalFormatting sqref="D7:D15">
    <cfRule type="colorScale" priority="1">
      <colorScale>
        <cfvo type="num" val="0"/>
        <cfvo type="num" val="5"/>
        <color rgb="00E8F3EC"/>
        <color rgb="00F6C9BC"/>
      </colorScale>
    </cfRule>
  </conditionalFormatting>
  <conditionalFormatting sqref="D20:D28">
    <cfRule type="colorScale" priority="2">
      <colorScale>
        <cfvo type="num" val="0"/>
        <cfvo type="num" val="5"/>
        <color rgb="00E8F3EC"/>
        <color rgb="00F6C9BC"/>
      </colorScale>
    </cfRule>
  </conditionalFormatting>
  <conditionalFormatting sqref="D33:D41">
    <cfRule type="colorScale" priority="3">
      <colorScale>
        <cfvo type="num" val="0"/>
        <cfvo type="num" val="5"/>
        <color rgb="00E8F3EC"/>
        <color rgb="00F6C9BC"/>
      </colorScale>
    </cfRule>
  </conditionalFormatting>
  <conditionalFormatting sqref="D46:D54">
    <cfRule type="colorScale" priority="4">
      <colorScale>
        <cfvo type="num" val="0"/>
        <cfvo type="num" val="5"/>
        <color rgb="00E8F3EC"/>
        <color rgb="00F6C9BC"/>
      </colorScale>
    </cfRule>
  </conditionalFormatting>
  <dataValidations count="1">
    <dataValidation sqref="B7 C7 B8 C8 B9 C9 B10 C10 B11 C11 B12 C12 B13 C13 B14 C14 B15 C15 B20 C20 B21 C21 B22 C22 B23 C23 B24 C24 B25 C25 B26 C26 B27 C27 B28 C28 B33 C33 B34 C34 B35 C35 B36 C36 B37 C37 B38 C38 B39 C39 B40 C40 B41 C41 B46 C46 B47 C47 B48 C48 B49 C49 B50 C50 B51 C51 B52 C52 B53 C53 B54 C54" showErrorMessage="1" showInputMessage="1" allowBlank="1" errorTitle="Out of range" error="Scores run from 0 to 5." type="whole" operator="between">
      <formula1>0</formula1>
      <formula2>5</formula2>
    </dataValidation>
  </dataValidations>
  <pageMargins left="0.75" right="0.75" top="1" bottom="1" header="0.5" footer="0.5"/>
  <pageSetup orientation="landscape" fitToWidth="1"/>
</worksheet>
</file>

<file path=xl/worksheets/sheet5.xml><?xml version="1.0" encoding="utf-8"?>
<worksheet xmlns="http://schemas.openxmlformats.org/spreadsheetml/2006/main">
  <sheetPr>
    <tabColor rgb="00E2571B"/>
    <outlinePr summaryBelow="1" summaryRight="1"/>
    <pageSetUpPr fitToPage="1"/>
  </sheetPr>
  <dimension ref="A1:E40"/>
  <sheetViews>
    <sheetView showGridLines="1" workbookViewId="0">
      <pane ySplit="5" topLeftCell="A6" activePane="bottomLeft" state="frozen"/>
      <selection pane="bottomLeft" activeCell="A1" sqref="A1"/>
    </sheetView>
  </sheetViews>
  <sheetFormatPr baseColWidth="8" defaultRowHeight="15"/>
  <cols>
    <col width="28" customWidth="1" min="1" max="1"/>
    <col width="54" customWidth="1" min="2" max="2"/>
    <col width="52" customWidth="1" min="3" max="3"/>
    <col width="10" customWidth="1" min="4" max="4"/>
    <col width="10" customWidth="1" min="5" max="5"/>
    <col width="3" customWidth="1" min="6" max="6"/>
    <col width="16" customWidth="1" min="7" max="7"/>
    <col width="16" customWidth="1" min="8" max="8"/>
    <col width="16" customWidth="1" min="9" max="9"/>
    <col width="16" customWidth="1" min="10" max="10"/>
    <col width="16" customWidth="1" min="11" max="11"/>
  </cols>
  <sheetData>
    <row r="1" ht="16" customHeight="1">
      <c r="A1" s="1" t="inlineStr">
        <is>
          <t>STEP 2</t>
        </is>
      </c>
    </row>
    <row r="2" ht="30" customHeight="1">
      <c r="A2" s="2" t="inlineStr">
        <is>
          <t>Decision gate</t>
        </is>
      </c>
    </row>
    <row r="3" ht="34" customHeight="1">
      <c r="A3" s="3" t="inlineStr">
        <is>
          <t>Score each question 0–5 in column E. Section weights are normalised to 100%, so the total is a true score out of 100 — the source sheet’s weights add to 240 and 125, which it scored against 100.</t>
        </is>
      </c>
    </row>
    <row r="4" ht="8" customHeight="1"/>
    <row r="5" ht="32" customHeight="1">
      <c r="A5" s="12" t="inlineStr">
        <is>
          <t>Section</t>
        </is>
      </c>
      <c r="B5" s="13" t="inlineStr">
        <is>
          <t>Question</t>
        </is>
      </c>
      <c r="C5" s="13" t="inlineStr">
        <is>
          <t>Scoring criteria</t>
        </is>
      </c>
      <c r="D5" s="13" t="inlineStr">
        <is>
          <t>Weight</t>
        </is>
      </c>
      <c r="E5" s="13" t="inlineStr">
        <is>
          <t>Score</t>
        </is>
      </c>
    </row>
    <row r="6" ht="20" customHeight="1">
      <c r="A6" s="14" t="inlineStr">
        <is>
          <t>STRATEGIC ALIGNMENT</t>
        </is>
      </c>
      <c r="B6" s="14" t="inlineStr">
        <is>
          <t>Does the AI initiative align with business goals?</t>
        </is>
      </c>
      <c r="C6" s="14" t="inlineStr">
        <is>
          <t>Strong alignment=5, Moderate=3, Low=1</t>
        </is>
      </c>
      <c r="D6" s="15" t="n">
        <v>20</v>
      </c>
      <c r="E6" s="15" t="n">
        <v>0</v>
      </c>
    </row>
    <row r="7" ht="20" customHeight="1">
      <c r="A7" s="16" t="inlineStr">
        <is>
          <t>PEOPLE READINESS</t>
        </is>
      </c>
      <c r="B7" s="16" t="inlineStr">
        <is>
          <t>Do we have skills and change management capability?</t>
        </is>
      </c>
      <c r="C7" s="16" t="inlineStr">
        <is>
          <t>Full capability=5, Partial=3, None=1</t>
        </is>
      </c>
      <c r="D7" s="15" t="n">
        <v>15</v>
      </c>
      <c r="E7" s="15" t="n">
        <v>0</v>
      </c>
    </row>
    <row r="8" ht="20" customHeight="1">
      <c r="A8" s="14" t="inlineStr">
        <is>
          <t>PEOPLE READINESS</t>
        </is>
      </c>
      <c r="B8" s="14" t="inlineStr">
        <is>
          <t>Leadership support and buy-in present?</t>
        </is>
      </c>
      <c r="C8" s="14" t="inlineStr">
        <is>
          <t>Strong support=5, Moderate=3, Low=1</t>
        </is>
      </c>
      <c r="D8" s="15" t="n">
        <v>15</v>
      </c>
      <c r="E8" s="15" t="n">
        <v>0</v>
      </c>
    </row>
    <row r="9" ht="20" customHeight="1">
      <c r="A9" s="16" t="inlineStr">
        <is>
          <t>PROCESS MATURITY</t>
        </is>
      </c>
      <c r="B9" s="16" t="inlineStr">
        <is>
          <t>Are relevant processes documented and optimized?</t>
        </is>
      </c>
      <c r="C9" s="16" t="inlineStr">
        <is>
          <t>Documented &amp; optimized=5, Partial=3, Ad-hoc=1</t>
        </is>
      </c>
      <c r="D9" s="15" t="n">
        <v>20</v>
      </c>
      <c r="E9" s="15" t="n">
        <v>0</v>
      </c>
    </row>
    <row r="10" ht="20" customHeight="1">
      <c r="A10" s="14" t="inlineStr">
        <is>
          <t>PROCESS MATURITY</t>
        </is>
      </c>
      <c r="B10" s="14" t="inlineStr">
        <is>
          <t>Data governance and quality standards exist?</t>
        </is>
      </c>
      <c r="C10" s="14" t="inlineStr">
        <is>
          <t>Comprehensive=5, Partial=3, None=1</t>
        </is>
      </c>
      <c r="D10" s="15" t="n">
        <v>15</v>
      </c>
      <c r="E10" s="15" t="n">
        <v>0</v>
      </c>
    </row>
    <row r="11" ht="20" customHeight="1">
      <c r="A11" s="16" t="inlineStr">
        <is>
          <t>PROCESS MATURITY</t>
        </is>
      </c>
      <c r="B11" s="16" t="inlineStr">
        <is>
          <t>Do we have risk &amp; compliance framework?</t>
        </is>
      </c>
      <c r="C11" s="16" t="inlineStr">
        <is>
          <t>Complete framework=5, Partial=3, None=1</t>
        </is>
      </c>
      <c r="D11" s="15" t="n">
        <v>10</v>
      </c>
      <c r="E11" s="15" t="n">
        <v>0</v>
      </c>
    </row>
    <row r="12" ht="20" customHeight="1">
      <c r="A12" s="14" t="inlineStr">
        <is>
          <t>TECHNOLOGY INFRASTRUCTURE</t>
        </is>
      </c>
      <c r="B12" s="14" t="inlineStr">
        <is>
          <t>Is cloud infrastructure and scalability available?</t>
        </is>
      </c>
      <c r="C12" s="14" t="inlineStr">
        <is>
          <t>Fully ready=5, Partial=3, Not ready=1</t>
        </is>
      </c>
      <c r="D12" s="15" t="n">
        <v>15</v>
      </c>
      <c r="E12" s="15" t="n">
        <v>0</v>
      </c>
    </row>
    <row r="13" ht="20" customHeight="1">
      <c r="A13" s="16" t="inlineStr">
        <is>
          <t>TECHNOLOGY INFRASTRUCTURE</t>
        </is>
      </c>
      <c r="B13" s="16" t="inlineStr">
        <is>
          <t>Do we have data &amp; analytics platform?</t>
        </is>
      </c>
      <c r="C13" s="16" t="inlineStr">
        <is>
          <t>Advanced platform=5, Basic=3, None=1</t>
        </is>
      </c>
      <c r="D13" s="15" t="n">
        <v>20</v>
      </c>
      <c r="E13" s="15" t="n">
        <v>0</v>
      </c>
    </row>
    <row r="14" ht="20" customHeight="1">
      <c r="A14" s="14" t="inlineStr">
        <is>
          <t>TECHNOLOGY INFRASTRUCTURE</t>
        </is>
      </c>
      <c r="B14" s="14" t="inlineStr">
        <is>
          <t>ML tools and MLOps capability in place?</t>
        </is>
      </c>
      <c r="C14" s="14" t="inlineStr">
        <is>
          <t>Full capability=5, Partial=3, None=1</t>
        </is>
      </c>
      <c r="D14" s="15" t="n">
        <v>15</v>
      </c>
      <c r="E14" s="15" t="n">
        <v>0</v>
      </c>
    </row>
    <row r="15" ht="20" customHeight="1">
      <c r="A15" s="16" t="inlineStr">
        <is>
          <t>RESPONSIBLE AI READINESS</t>
        </is>
      </c>
      <c r="B15" s="16" t="inlineStr">
        <is>
          <t>Bias detection &amp; fairness assessment in place?</t>
        </is>
      </c>
      <c r="C15" s="16" t="inlineStr">
        <is>
          <t>Comprehensive=5, Basic=3, None=1</t>
        </is>
      </c>
      <c r="D15" s="15" t="n">
        <v>10</v>
      </c>
      <c r="E15" s="15" t="n">
        <v>0</v>
      </c>
    </row>
    <row r="16" ht="20" customHeight="1">
      <c r="A16" s="14" t="inlineStr">
        <is>
          <t>RESPONSIBLE AI READINESS</t>
        </is>
      </c>
      <c r="B16" s="14" t="inlineStr">
        <is>
          <t>Ethics governance framework established?</t>
        </is>
      </c>
      <c r="C16" s="14" t="inlineStr">
        <is>
          <t>Formal board + processes=5, Informal=3, None=1</t>
        </is>
      </c>
      <c r="D16" s="15" t="n">
        <v>15</v>
      </c>
      <c r="E16" s="15" t="n">
        <v>0</v>
      </c>
    </row>
    <row r="17" ht="20" customHeight="1">
      <c r="A17" s="16" t="inlineStr">
        <is>
          <t>RESPONSIBLE AI READINESS</t>
        </is>
      </c>
      <c r="B17" s="16" t="inlineStr">
        <is>
          <t>Privacy &amp; compliance risk mitigated?</t>
        </is>
      </c>
      <c r="C17" s="16" t="inlineStr">
        <is>
          <t>Full assessment done=5, Partial=3, None=1</t>
        </is>
      </c>
      <c r="D17" s="15" t="n">
        <v>10</v>
      </c>
      <c r="E17" s="15" t="n">
        <v>0</v>
      </c>
    </row>
    <row r="18" ht="20" customHeight="1">
      <c r="A18" s="14" t="inlineStr">
        <is>
          <t>BUSINESS CASE</t>
        </is>
      </c>
      <c r="B18" s="14" t="inlineStr">
        <is>
          <t>Is there clear ROI and business value defined?</t>
        </is>
      </c>
      <c r="C18" s="14" t="inlineStr">
        <is>
          <t>Clear ROI &gt;2x=5, &gt;1.5x=3, &lt;1.5x=1</t>
        </is>
      </c>
      <c r="D18" s="15" t="n">
        <v>15</v>
      </c>
      <c r="E18" s="15" t="n">
        <v>0</v>
      </c>
    </row>
    <row r="19" ht="20" customHeight="1">
      <c r="A19" s="16" t="inlineStr">
        <is>
          <t>BUSINESS CASE</t>
        </is>
      </c>
      <c r="B19" s="16" t="inlineStr">
        <is>
          <t>Are resources and budget allocated?</t>
        </is>
      </c>
      <c r="C19" s="16" t="inlineStr">
        <is>
          <t>Fully funded=5, Partial=3, Not allocated=1</t>
        </is>
      </c>
      <c r="D19" s="15" t="n">
        <v>15</v>
      </c>
      <c r="E19" s="15" t="n">
        <v>0</v>
      </c>
    </row>
    <row r="20" ht="20" customHeight="1">
      <c r="A20" s="14" t="inlineStr">
        <is>
          <t>BUSINESS CASE</t>
        </is>
      </c>
      <c r="B20" s="14" t="inlineStr">
        <is>
          <t>Is there vendor/partner ecosystem support?</t>
        </is>
      </c>
      <c r="C20" s="14" t="inlineStr">
        <is>
          <t>Strong partners=5, Few partners=3, None=1</t>
        </is>
      </c>
      <c r="D20" s="15" t="n">
        <v>10</v>
      </c>
      <c r="E20" s="15" t="n">
        <v>0</v>
      </c>
    </row>
    <row r="21" ht="20" customHeight="1">
      <c r="A21" s="16" t="inlineStr">
        <is>
          <t>CHANGE MANAGEMENT READINESS</t>
        </is>
      </c>
      <c r="B21" s="16" t="inlineStr">
        <is>
          <t>Adoption incentive program designed?</t>
        </is>
      </c>
      <c r="C21" s="16" t="inlineStr">
        <is>
          <t>Yes, linked to bonus/promotion=5, Basic=3, No=1</t>
        </is>
      </c>
      <c r="D21" s="15" t="n">
        <v>10</v>
      </c>
      <c r="E21" s="15" t="n">
        <v>0</v>
      </c>
    </row>
    <row r="22" ht="20" customHeight="1">
      <c r="A22" s="14" t="inlineStr">
        <is>
          <t>CHANGE MANAGEMENT READINESS</t>
        </is>
      </c>
      <c r="B22" s="14" t="inlineStr">
        <is>
          <t>User adoption tracking in place (WAU/CSAT)?</t>
        </is>
      </c>
      <c r="C22" s="14" t="inlineStr">
        <is>
          <t>Comprehensive dashboard=5, Manual tracking=3, None=1</t>
        </is>
      </c>
      <c r="D22" s="15" t="n">
        <v>10</v>
      </c>
      <c r="E22" s="15" t="n">
        <v>0</v>
      </c>
    </row>
    <row r="24" ht="22" customHeight="1">
      <c r="A24" s="10" t="inlineStr">
        <is>
          <t>Section scoring</t>
        </is>
      </c>
      <c r="B24" s="10" t="n"/>
      <c r="C24" s="10" t="n"/>
      <c r="D24" s="10" t="n"/>
      <c r="E24" s="10" t="n"/>
    </row>
    <row r="25" ht="32" customHeight="1">
      <c r="A25" s="12" t="inlineStr">
        <is>
          <t>Section</t>
        </is>
      </c>
      <c r="B25" s="13" t="inlineStr">
        <is>
          <t>Stated weight %</t>
        </is>
      </c>
      <c r="C25" s="13" t="inlineStr">
        <is>
          <t>Normalised %</t>
        </is>
      </c>
      <c r="D25" s="13" t="inlineStr">
        <is>
          <t>Section score 0-1</t>
        </is>
      </c>
      <c r="E25" s="13" t="inlineStr">
        <is>
          <t>Points of 100</t>
        </is>
      </c>
    </row>
    <row r="26" ht="20" customHeight="1">
      <c r="A26" s="14" t="inlineStr">
        <is>
          <t>STRATEGIC ALIGNMENT</t>
        </is>
      </c>
      <c r="B26" s="15" t="n">
        <v>20</v>
      </c>
      <c r="C26" s="29">
        <f>B26/SUM($B$26:$B$32)</f>
        <v/>
      </c>
      <c r="D26" s="28">
        <f>IFERROR(SUMPRODUCT(($A$6:$A$22=A26)*$D$6:$D$22*$E$6:$E$22)/(5*SUMIF($A$6:$A$22,A26,$D$6:$D$22)),0)</f>
        <v/>
      </c>
      <c r="E26" s="28">
        <f>C26*D26*100</f>
        <v/>
      </c>
    </row>
    <row r="27" ht="20" customHeight="1">
      <c r="A27" s="14" t="inlineStr">
        <is>
          <t>PEOPLE READINESS</t>
        </is>
      </c>
      <c r="B27" s="15" t="n">
        <v>15</v>
      </c>
      <c r="C27" s="29">
        <f>B27/SUM($B$26:$B$32)</f>
        <v/>
      </c>
      <c r="D27" s="28">
        <f>IFERROR(SUMPRODUCT(($A$6:$A$22=A27)*$D$6:$D$22*$E$6:$E$22)/(5*SUMIF($A$6:$A$22,A27,$D$6:$D$22)),0)</f>
        <v/>
      </c>
      <c r="E27" s="28">
        <f>C27*D27*100</f>
        <v/>
      </c>
    </row>
    <row r="28" ht="20" customHeight="1">
      <c r="A28" s="14" t="inlineStr">
        <is>
          <t>PROCESS MATURITY</t>
        </is>
      </c>
      <c r="B28" s="15" t="n">
        <v>20</v>
      </c>
      <c r="C28" s="29">
        <f>B28/SUM($B$26:$B$32)</f>
        <v/>
      </c>
      <c r="D28" s="28">
        <f>IFERROR(SUMPRODUCT(($A$6:$A$22=A28)*$D$6:$D$22*$E$6:$E$22)/(5*SUMIF($A$6:$A$22,A28,$D$6:$D$22)),0)</f>
        <v/>
      </c>
      <c r="E28" s="28">
        <f>C28*D28*100</f>
        <v/>
      </c>
    </row>
    <row r="29" ht="20" customHeight="1">
      <c r="A29" s="14" t="inlineStr">
        <is>
          <t>TECHNOLOGY INFRASTRUCTURE</t>
        </is>
      </c>
      <c r="B29" s="15" t="n">
        <v>25</v>
      </c>
      <c r="C29" s="29">
        <f>B29/SUM($B$26:$B$32)</f>
        <v/>
      </c>
      <c r="D29" s="28">
        <f>IFERROR(SUMPRODUCT(($A$6:$A$22=A29)*$D$6:$D$22*$E$6:$E$22)/(5*SUMIF($A$6:$A$22,A29,$D$6:$D$22)),0)</f>
        <v/>
      </c>
      <c r="E29" s="28">
        <f>C29*D29*100</f>
        <v/>
      </c>
    </row>
    <row r="30" ht="20" customHeight="1">
      <c r="A30" s="14" t="inlineStr">
        <is>
          <t>RESPONSIBLE AI READINESS</t>
        </is>
      </c>
      <c r="B30" s="15" t="n">
        <v>15</v>
      </c>
      <c r="C30" s="29">
        <f>B30/SUM($B$26:$B$32)</f>
        <v/>
      </c>
      <c r="D30" s="28">
        <f>IFERROR(SUMPRODUCT(($A$6:$A$22=A30)*$D$6:$D$22*$E$6:$E$22)/(5*SUMIF($A$6:$A$22,A30,$D$6:$D$22)),0)</f>
        <v/>
      </c>
      <c r="E30" s="28">
        <f>C30*D30*100</f>
        <v/>
      </c>
    </row>
    <row r="31" ht="20" customHeight="1">
      <c r="A31" s="14" t="inlineStr">
        <is>
          <t>BUSINESS CASE</t>
        </is>
      </c>
      <c r="B31" s="15" t="n">
        <v>20</v>
      </c>
      <c r="C31" s="29">
        <f>B31/SUM($B$26:$B$32)</f>
        <v/>
      </c>
      <c r="D31" s="28">
        <f>IFERROR(SUMPRODUCT(($A$6:$A$22=A31)*$D$6:$D$22*$E$6:$E$22)/(5*SUMIF($A$6:$A$22,A31,$D$6:$D$22)),0)</f>
        <v/>
      </c>
      <c r="E31" s="28">
        <f>C31*D31*100</f>
        <v/>
      </c>
    </row>
    <row r="32" ht="20" customHeight="1">
      <c r="A32" s="14" t="inlineStr">
        <is>
          <t>CHANGE MANAGEMENT READINESS</t>
        </is>
      </c>
      <c r="B32" s="15" t="n">
        <v>10</v>
      </c>
      <c r="C32" s="29">
        <f>B32/SUM($B$26:$B$32)</f>
        <v/>
      </c>
      <c r="D32" s="28">
        <f>IFERROR(SUMPRODUCT(($A$6:$A$22=A32)*$D$6:$D$22*$E$6:$E$22)/(5*SUMIF($A$6:$A$22,A32,$D$6:$D$22)),0)</f>
        <v/>
      </c>
      <c r="E32" s="28">
        <f>C32*D32*100</f>
        <v/>
      </c>
    </row>
    <row r="33" ht="24" customHeight="1">
      <c r="A33" s="26" t="inlineStr">
        <is>
          <t>TOTAL SCORE</t>
        </is>
      </c>
      <c r="B33" s="26">
        <f>LOOKUP('Decision gate'!$E$33,'Decision gate'!$A$37:$A$40,'Decision gate'!$B$37:$B$40)</f>
        <v/>
      </c>
      <c r="C33" s="26" t="inlineStr"/>
      <c r="D33" s="26" t="inlineStr"/>
      <c r="E33" s="30">
        <f>SUM(E26:E32)</f>
        <v/>
      </c>
    </row>
    <row r="35" ht="22" customHeight="1">
      <c r="A35" s="10" t="inlineStr">
        <is>
          <t>Scoring bands</t>
        </is>
      </c>
      <c r="B35" s="10" t="n"/>
      <c r="C35" s="10" t="n"/>
      <c r="D35" s="10" t="n"/>
      <c r="E35" s="10" t="n"/>
    </row>
    <row r="36" ht="32" customHeight="1">
      <c r="A36" s="12" t="inlineStr">
        <is>
          <t>From</t>
        </is>
      </c>
      <c r="B36" s="13" t="inlineStr">
        <is>
          <t>Verdict</t>
        </is>
      </c>
      <c r="C36" s="13" t="inlineStr">
        <is>
          <t>Action</t>
        </is>
      </c>
    </row>
    <row r="37" ht="20" customHeight="1">
      <c r="A37" s="19" t="n">
        <v>0</v>
      </c>
      <c r="B37" s="14" t="inlineStr">
        <is>
          <t>NOT READY - BUILD FOUNDATION FIRST</t>
        </is>
      </c>
      <c r="C37" s="14" t="inlineStr">
        <is>
          <t>Stop - Halt; redesign or defer 6+ months</t>
        </is>
      </c>
    </row>
    <row r="38" ht="20" customHeight="1">
      <c r="A38" s="19" t="n">
        <v>50</v>
      </c>
      <c r="B38" s="14" t="inlineStr">
        <is>
          <t>REQUIRES SIGNIFICANT PREPARATION</t>
        </is>
      </c>
      <c r="C38" s="14" t="inlineStr">
        <is>
          <t>Red Light - Delay 4-6 weeks; address major gaps</t>
        </is>
      </c>
    </row>
    <row r="39" ht="20" customHeight="1">
      <c r="A39" s="19" t="n">
        <v>65</v>
      </c>
      <c r="B39" s="14" t="inlineStr">
        <is>
          <t>READY WITH MINOR PREPARATORY STEPS</t>
        </is>
      </c>
      <c r="C39" s="14" t="inlineStr">
        <is>
          <t>Yellow Light - Address 2-3 gaps, then proceed</t>
        </is>
      </c>
    </row>
    <row r="40" ht="20" customHeight="1">
      <c r="A40" s="19" t="n">
        <v>80</v>
      </c>
      <c r="B40" s="14" t="inlineStr">
        <is>
          <t>READY FOR IMMEDIATE IMPLEMENTATION</t>
        </is>
      </c>
      <c r="C40" s="14" t="inlineStr">
        <is>
          <t>Green Light - Proceed full speed</t>
        </is>
      </c>
    </row>
  </sheetData>
  <mergeCells count="3">
    <mergeCell ref="A3:E3"/>
    <mergeCell ref="A24:E24"/>
    <mergeCell ref="A35:E35"/>
  </mergeCells>
  <dataValidations count="1">
    <dataValidation sqref="E6 E7 E8 E9 E10 E11 E12 E13 E14 E15 E16 E17 E18 E19 E20 E21 E22" showErrorMessage="1" showInputMessage="1" allowBlank="1" errorTitle="Out of range" error="Scores run from 0 to 5." type="whole" operator="between">
      <formula1>0</formula1>
      <formula2>5</formula2>
    </dataValidation>
  </dataValidations>
  <pageMargins left="0.75" right="0.75" top="1" bottom="1" header="0.5" footer="0.5"/>
  <pageSetup orientation="landscape" fitToWidth="1"/>
  <drawing xmlns:r="http://schemas.openxmlformats.org/officeDocument/2006/relationships" r:id="rId1"/>
</worksheet>
</file>

<file path=xl/worksheets/sheet6.xml><?xml version="1.0" encoding="utf-8"?>
<worksheet xmlns="http://schemas.openxmlformats.org/spreadsheetml/2006/main">
  <sheetPr>
    <tabColor rgb="00E2571B"/>
    <outlinePr summaryBelow="1" summaryRight="1"/>
    <pageSetUpPr fitToPage="1"/>
  </sheetPr>
  <dimension ref="A1:L16"/>
  <sheetViews>
    <sheetView showGridLines="1"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7" customWidth="1" min="8" max="8"/>
    <col width="17" customWidth="1" min="9" max="9"/>
    <col width="26" customWidth="1" min="10" max="10"/>
    <col width="15" customWidth="1" min="11" max="11"/>
    <col width="15" customWidth="1" min="12" max="12"/>
  </cols>
  <sheetData>
    <row r="1" ht="16" customHeight="1">
      <c r="A1" s="1" t="inlineStr">
        <is>
          <t>STEP 3</t>
        </is>
      </c>
    </row>
    <row r="2" ht="30" customHeight="1">
      <c r="A2" s="2" t="inlineStr">
        <is>
          <t>Financials</t>
        </is>
      </c>
    </row>
    <row r="3" ht="34" customHeight="1">
      <c r="A3" s="3" t="inlineStr">
        <is>
          <t>Enter cost and benefit per initiative in the peach cells. Benefits and net use the corrected formulas: benefits = Y1 revenue + Y1 savings + Y2 revenue + Y2 savings, net = benefits − implementation − operating.</t>
        </is>
      </c>
    </row>
    <row r="4" ht="8" customHeight="1"/>
    <row r="5" ht="32" customHeight="1">
      <c r="A5" s="12" t="inlineStr">
        <is>
          <t>Initiative</t>
        </is>
      </c>
      <c r="B5" s="13" t="inlineStr">
        <is>
          <t>Implementation</t>
        </is>
      </c>
      <c r="C5" s="13" t="inlineStr">
        <is>
          <t>Y1 revenue</t>
        </is>
      </c>
      <c r="D5" s="13" t="inlineStr">
        <is>
          <t>Y1 savings</t>
        </is>
      </c>
      <c r="E5" s="13" t="inlineStr">
        <is>
          <t>Y2 revenue</t>
        </is>
      </c>
      <c r="F5" s="13" t="inlineStr">
        <is>
          <t>Y2 savings</t>
        </is>
      </c>
      <c r="G5" s="13" t="inlineStr">
        <is>
          <t>Operating</t>
        </is>
      </c>
      <c r="H5" s="13" t="inlineStr">
        <is>
          <t>Benefits</t>
        </is>
      </c>
      <c r="I5" s="13" t="inlineStr">
        <is>
          <t>Net benefit</t>
        </is>
      </c>
      <c r="J5" s="13" t="inlineStr">
        <is>
          <t>Notes</t>
        </is>
      </c>
    </row>
    <row r="6" ht="20" customHeight="1">
      <c r="A6" s="14" t="inlineStr">
        <is>
          <t>GenAI Process Automation</t>
        </is>
      </c>
      <c r="B6" s="31" t="n">
        <v>300000</v>
      </c>
      <c r="C6" s="31" t="n">
        <v>150000</v>
      </c>
      <c r="D6" s="31" t="n">
        <v>250000</v>
      </c>
      <c r="E6" s="31" t="n">
        <v>300000</v>
      </c>
      <c r="F6" s="31" t="n">
        <v>250000</v>
      </c>
      <c r="G6" s="31" t="n">
        <v>60000</v>
      </c>
      <c r="H6" s="18">
        <f>SUM(C6:F6)</f>
        <v/>
      </c>
      <c r="I6" s="18">
        <f>H6-B6-G6</f>
        <v/>
      </c>
      <c r="J6" s="11" t="inlineStr">
        <is>
          <t>example figures — replace</t>
        </is>
      </c>
    </row>
    <row r="7" ht="20" customHeight="1">
      <c r="A7" s="16" t="inlineStr">
        <is>
          <t>Predictive Analytics</t>
        </is>
      </c>
      <c r="B7" s="31" t="n">
        <v>220000</v>
      </c>
      <c r="C7" s="31" t="n">
        <v>100000</v>
      </c>
      <c r="D7" s="31" t="n">
        <v>120000</v>
      </c>
      <c r="E7" s="31" t="n">
        <v>200000</v>
      </c>
      <c r="F7" s="31" t="n">
        <v>130000</v>
      </c>
      <c r="G7" s="31" t="n">
        <v>45000</v>
      </c>
      <c r="H7" s="18">
        <f>SUM(C7:F7)</f>
        <v/>
      </c>
      <c r="I7" s="18">
        <f>H7-B7-G7</f>
        <v/>
      </c>
      <c r="J7" s="17" t="inlineStr">
        <is>
          <t>example figures — replace</t>
        </is>
      </c>
    </row>
    <row r="8" ht="20" customHeight="1">
      <c r="A8" s="14" t="inlineStr">
        <is>
          <t>Customer AI Assistant</t>
        </is>
      </c>
      <c r="B8" s="31" t="n">
        <v>180000</v>
      </c>
      <c r="C8" s="31" t="n">
        <v>90000</v>
      </c>
      <c r="D8" s="31" t="n">
        <v>110000</v>
      </c>
      <c r="E8" s="31" t="n">
        <v>150000</v>
      </c>
      <c r="F8" s="31" t="n">
        <v>100000</v>
      </c>
      <c r="G8" s="31" t="n">
        <v>40000</v>
      </c>
      <c r="H8" s="18">
        <f>SUM(C8:F8)</f>
        <v/>
      </c>
      <c r="I8" s="18">
        <f>H8-B8-G8</f>
        <v/>
      </c>
      <c r="J8" s="11" t="inlineStr">
        <is>
          <t>example figures — replace</t>
        </is>
      </c>
    </row>
    <row r="9" ht="20" customHeight="1">
      <c r="A9" s="16" t="inlineStr">
        <is>
          <t>Document Intelligence</t>
        </is>
      </c>
      <c r="B9" s="31" t="n">
        <v>130000</v>
      </c>
      <c r="C9" s="31" t="n">
        <v>40000</v>
      </c>
      <c r="D9" s="31" t="n">
        <v>90000</v>
      </c>
      <c r="E9" s="31" t="n">
        <v>60000</v>
      </c>
      <c r="F9" s="31" t="n">
        <v>70000</v>
      </c>
      <c r="G9" s="31" t="n">
        <v>25000</v>
      </c>
      <c r="H9" s="18">
        <f>SUM(C9:F9)</f>
        <v/>
      </c>
      <c r="I9" s="18">
        <f>H9-B9-G9</f>
        <v/>
      </c>
      <c r="J9" s="17" t="inlineStr">
        <is>
          <t>example figures — replace</t>
        </is>
      </c>
    </row>
    <row r="10" ht="20" customHeight="1">
      <c r="A10" s="14" t="inlineStr">
        <is>
          <t>Code Generation</t>
        </is>
      </c>
      <c r="B10" s="31" t="n">
        <v>100000</v>
      </c>
      <c r="C10" s="31" t="n">
        <v>20000</v>
      </c>
      <c r="D10" s="31" t="n">
        <v>60000</v>
      </c>
      <c r="E10" s="31" t="n">
        <v>40000</v>
      </c>
      <c r="F10" s="31" t="n">
        <v>50000</v>
      </c>
      <c r="G10" s="31" t="n">
        <v>18000</v>
      </c>
      <c r="H10" s="18">
        <f>SUM(C10:F10)</f>
        <v/>
      </c>
      <c r="I10" s="18">
        <f>H10-B10-G10</f>
        <v/>
      </c>
      <c r="J10" s="11" t="inlineStr">
        <is>
          <t>example figures — replace</t>
        </is>
      </c>
    </row>
    <row r="11" ht="20" customHeight="1">
      <c r="A11" s="16" t="inlineStr">
        <is>
          <t>Risk Assessment AI</t>
        </is>
      </c>
      <c r="B11" s="31" t="n">
        <v>70000</v>
      </c>
      <c r="C11" s="31" t="n">
        <v>20000</v>
      </c>
      <c r="D11" s="31" t="n">
        <v>40000</v>
      </c>
      <c r="E11" s="31" t="n">
        <v>30000</v>
      </c>
      <c r="F11" s="31" t="n">
        <v>30000</v>
      </c>
      <c r="G11" s="31" t="n">
        <v>12000</v>
      </c>
      <c r="H11" s="18">
        <f>SUM(C11:F11)</f>
        <v/>
      </c>
      <c r="I11" s="18">
        <f>H11-B11-G11</f>
        <v/>
      </c>
      <c r="J11" s="17" t="inlineStr">
        <is>
          <t>example figures — replace</t>
        </is>
      </c>
    </row>
    <row r="12" ht="24" customHeight="1">
      <c r="A12" s="26" t="inlineStr">
        <is>
          <t>TOTALS</t>
        </is>
      </c>
      <c r="B12" s="32">
        <f>SUM(B6:B11)</f>
        <v/>
      </c>
      <c r="C12" s="32">
        <f>SUM(C6:C11)</f>
        <v/>
      </c>
      <c r="D12" s="32">
        <f>SUM(D6:D11)</f>
        <v/>
      </c>
      <c r="E12" s="32">
        <f>SUM(E6:E11)</f>
        <v/>
      </c>
      <c r="F12" s="32">
        <f>SUM(F6:F11)</f>
        <v/>
      </c>
      <c r="G12" s="32">
        <f>SUM(G6:G11)</f>
        <v/>
      </c>
      <c r="H12" s="32">
        <f>SUM(H6:H11)</f>
        <v/>
      </c>
      <c r="I12" s="32">
        <f>SUM(I6:I11)</f>
        <v/>
      </c>
      <c r="J12" s="26" t="inlineStr"/>
    </row>
    <row r="14" ht="22" customHeight="1">
      <c r="A14" s="10" t="inlineStr">
        <is>
          <t>Programme metrics</t>
        </is>
      </c>
      <c r="B14" s="10" t="n"/>
      <c r="C14" s="10" t="n"/>
      <c r="D14" s="10" t="n"/>
      <c r="E14" s="10" t="n"/>
      <c r="F14" s="10" t="n"/>
      <c r="G14" s="10" t="n"/>
      <c r="H14" s="10" t="n"/>
      <c r="I14" s="10" t="n"/>
      <c r="J14" s="10" t="n"/>
    </row>
    <row r="15" ht="34" customHeight="1">
      <c r="A15" s="8">
        <f>Financials!$B$12</f>
        <v/>
      </c>
      <c r="B15" s="8" t="n"/>
      <c r="C15" s="8">
        <f>Financials!$H$12</f>
        <v/>
      </c>
      <c r="D15" s="8" t="n"/>
      <c r="E15" s="8">
        <f>Financials!$I$12</f>
        <v/>
      </c>
      <c r="F15" s="8" t="n"/>
      <c r="G15" s="7">
        <f>IF(Financials!$B$12=0,"",Financials!$I$12/Financials!$B$12)</f>
        <v/>
      </c>
      <c r="H15" s="7" t="n"/>
      <c r="I15" s="6">
        <f>IF(Financials!$B$12=0,"",Financials!$H$12/Financials!$B$12)</f>
        <v/>
      </c>
      <c r="J15" s="6" t="n"/>
      <c r="K15" s="6">
        <f>IF((Financials!$H$12-Financials!$G$12)&lt;=0,"",Financials!$B$12/((Financials!$H$12-Financials!$G$12)/24))</f>
        <v/>
      </c>
      <c r="L15" s="6" t="n"/>
    </row>
    <row r="16" ht="22" customHeight="1">
      <c r="A16" s="9" t="inlineStr">
        <is>
          <t>Total investment</t>
        </is>
      </c>
      <c r="B16" s="9" t="n"/>
      <c r="C16" s="9" t="inlineStr">
        <is>
          <t>2-year benefits</t>
        </is>
      </c>
      <c r="D16" s="9" t="n"/>
      <c r="E16" s="9" t="inlineStr">
        <is>
          <t>Net benefit</t>
        </is>
      </c>
      <c r="F16" s="9" t="n"/>
      <c r="G16" s="9" t="inlineStr">
        <is>
          <t>ROI</t>
        </is>
      </c>
      <c r="H16" s="9" t="n"/>
      <c r="I16" s="9" t="inlineStr">
        <is>
          <t>Benefit-cost ratio</t>
        </is>
      </c>
      <c r="J16" s="9" t="n"/>
      <c r="K16" s="9" t="inlineStr">
        <is>
          <t>Payback, months</t>
        </is>
      </c>
      <c r="L16" s="9" t="n"/>
    </row>
  </sheetData>
  <mergeCells count="14">
    <mergeCell ref="A3:J3"/>
    <mergeCell ref="A14:J14"/>
    <mergeCell ref="A15:B15"/>
    <mergeCell ref="A16:B16"/>
    <mergeCell ref="C15:D15"/>
    <mergeCell ref="C16:D16"/>
    <mergeCell ref="E15:F15"/>
    <mergeCell ref="E16:F16"/>
    <mergeCell ref="G15:H15"/>
    <mergeCell ref="G16:H16"/>
    <mergeCell ref="I15:J15"/>
    <mergeCell ref="I16:J16"/>
    <mergeCell ref="K15:L15"/>
    <mergeCell ref="K16:L16"/>
  </mergeCells>
  <pageMargins left="0.75" right="0.75" top="1" bottom="1" header="0.5" footer="0.5"/>
  <pageSetup orientation="landscape" fitToWidth="1"/>
  <drawing xmlns:r="http://schemas.openxmlformats.org/officeDocument/2006/relationships" r:id="rId1"/>
</worksheet>
</file>

<file path=xl/worksheets/sheet7.xml><?xml version="1.0" encoding="utf-8"?>
<worksheet xmlns="http://schemas.openxmlformats.org/spreadsheetml/2006/main">
  <sheetPr>
    <tabColor rgb="00E2571B"/>
    <outlinePr summaryBelow="1" summaryRight="1"/>
    <pageSetUpPr fitToPage="1"/>
  </sheetPr>
  <dimension ref="A1:O1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11" customWidth="1" min="1" max="1"/>
    <col width="36" customWidth="1" min="2" max="2"/>
    <col width="24" customWidth="1" min="3" max="3"/>
    <col width="9" customWidth="1" min="4" max="4"/>
    <col width="9" customWidth="1" min="5" max="5"/>
    <col width="9" customWidth="1" min="6" max="6"/>
    <col width="13" customWidth="1" min="7" max="7"/>
    <col width="15" customWidth="1" min="8" max="8"/>
    <col width="9" customWidth="1" min="9" max="9"/>
    <col width="10" customWidth="1" min="10" max="10"/>
    <col width="13" customWidth="1" min="11" max="11"/>
    <col width="20" customWidth="1" min="12" max="12"/>
    <col width="3" customWidth="1" min="13" max="13"/>
    <col hidden="1" width="12" customWidth="1" min="14" max="14"/>
    <col hidden="1" width="10" customWidth="1" min="15" max="15"/>
  </cols>
  <sheetData>
    <row r="1" ht="16" customHeight="1">
      <c r="A1" s="1" t="inlineStr">
        <is>
          <t>STEP 4</t>
        </is>
      </c>
    </row>
    <row r="2" ht="30" customHeight="1">
      <c r="A2" s="2" t="inlineStr">
        <is>
          <t>Use-case portfolio</t>
        </is>
      </c>
    </row>
    <row r="3" ht="34" customHeight="1">
      <c r="A3" s="3" t="inlineStr">
        <is>
          <t>Value blends return against risk. A use case can start when process and tech are both 2 or more — the rule that reproduces the source sheet’s own Status column on all twelve rows. Score the peach cells; value, readiness and the verdict follow.</t>
        </is>
      </c>
    </row>
    <row r="4" ht="8" customHeight="1"/>
    <row r="5" ht="32" customHeight="1">
      <c r="A5" s="12" t="inlineStr">
        <is>
          <t>ID</t>
        </is>
      </c>
      <c r="B5" s="13" t="inlineStr">
        <is>
          <t>Use case</t>
        </is>
      </c>
      <c r="C5" s="13" t="inlineStr">
        <is>
          <t>Department</t>
        </is>
      </c>
      <c r="D5" s="13" t="inlineStr">
        <is>
          <t>People</t>
        </is>
      </c>
      <c r="E5" s="13" t="inlineStr">
        <is>
          <t>Process</t>
        </is>
      </c>
      <c r="F5" s="13" t="inlineStr">
        <is>
          <t>Tech</t>
        </is>
      </c>
      <c r="G5" s="13" t="inlineStr">
        <is>
          <t>AI risk</t>
        </is>
      </c>
      <c r="H5" s="13" t="inlineStr">
        <is>
          <t>Portfolio risk</t>
        </is>
      </c>
      <c r="I5" s="13" t="inlineStr">
        <is>
          <t>ROI x</t>
        </is>
      </c>
      <c r="J5" s="13" t="inlineStr">
        <is>
          <t>Value</t>
        </is>
      </c>
      <c r="K5" s="13" t="inlineStr">
        <is>
          <t>Readiness</t>
        </is>
      </c>
      <c r="L5" s="13" t="inlineStr">
        <is>
          <t>Verdict</t>
        </is>
      </c>
      <c r="N5" s="13" t="inlineStr">
        <is>
          <t>Readiness</t>
        </is>
      </c>
      <c r="O5" s="13" t="inlineStr">
        <is>
          <t>ROI x</t>
        </is>
      </c>
    </row>
    <row r="6" ht="20" customHeight="1">
      <c r="A6" s="19" t="inlineStr">
        <is>
          <t>UC-001</t>
        </is>
      </c>
      <c r="B6" s="14" t="inlineStr">
        <is>
          <t>Customer Service Chatbot</t>
        </is>
      </c>
      <c r="C6" s="14" t="inlineStr">
        <is>
          <t>Customer Service</t>
        </is>
      </c>
      <c r="D6" s="15" t="n">
        <v>3</v>
      </c>
      <c r="E6" s="15" t="n">
        <v>3</v>
      </c>
      <c r="F6" s="15" t="n">
        <v>2</v>
      </c>
      <c r="G6" s="15" t="inlineStr">
        <is>
          <t>Medium</t>
        </is>
      </c>
      <c r="H6" s="15" t="inlineStr">
        <is>
          <t>Medium</t>
        </is>
      </c>
      <c r="I6" s="33" t="n">
        <v>2.5</v>
      </c>
      <c r="J6" s="34">
        <f>MAX(0,MIN(100,MIN(I6,5)/5*70+(4-(IF(ISNUMBER(SEARCH("high",G6)),2,IF(ISNUMBER(SEARCH("medium",G6)),1,0))+IF(ISNUMBER(SEARCH("high",H6)),2,IF(ISNUMBER(SEARCH("medium",H6)),1,0))))/4*30))</f>
        <v/>
      </c>
      <c r="K6" s="19">
        <f>IF(AND(E6&gt;=2,F6&gt;=2),"Ready","Not yet")</f>
        <v/>
      </c>
      <c r="L6" s="19">
        <f>IF(K6="Not yet","Needs foundation",IF(J6&gt;=60,"Start now","Schedule"))</f>
        <v/>
      </c>
      <c r="N6" s="28">
        <f>AVERAGE(D6:F6)</f>
        <v/>
      </c>
      <c r="O6" s="28">
        <f>I6</f>
        <v/>
      </c>
    </row>
    <row r="7" ht="20" customHeight="1">
      <c r="A7" s="21" t="inlineStr">
        <is>
          <t>UC-002</t>
        </is>
      </c>
      <c r="B7" s="16" t="inlineStr">
        <is>
          <t>Predictive Analytics - Demand</t>
        </is>
      </c>
      <c r="C7" s="16" t="inlineStr">
        <is>
          <t>Operations</t>
        </is>
      </c>
      <c r="D7" s="15" t="n">
        <v>2</v>
      </c>
      <c r="E7" s="15" t="n">
        <v>2</v>
      </c>
      <c r="F7" s="15" t="n">
        <v>1</v>
      </c>
      <c r="G7" s="15" t="inlineStr">
        <is>
          <t>Low</t>
        </is>
      </c>
      <c r="H7" s="15" t="inlineStr">
        <is>
          <t>Medium</t>
        </is>
      </c>
      <c r="I7" s="33" t="n">
        <v>3</v>
      </c>
      <c r="J7" s="34">
        <f>MAX(0,MIN(100,MIN(I7,5)/5*70+(4-(IF(ISNUMBER(SEARCH("high",G7)),2,IF(ISNUMBER(SEARCH("medium",G7)),1,0))+IF(ISNUMBER(SEARCH("high",H7)),2,IF(ISNUMBER(SEARCH("medium",H7)),1,0))))/4*30))</f>
        <v/>
      </c>
      <c r="K7" s="21">
        <f>IF(AND(E7&gt;=2,F7&gt;=2),"Ready","Not yet")</f>
        <v/>
      </c>
      <c r="L7" s="21">
        <f>IF(K7="Not yet","Needs foundation",IF(J7&gt;=60,"Start now","Schedule"))</f>
        <v/>
      </c>
      <c r="N7" s="28">
        <f>AVERAGE(D7:F7)</f>
        <v/>
      </c>
      <c r="O7" s="28">
        <f>I7</f>
        <v/>
      </c>
    </row>
    <row r="8" ht="20" customHeight="1">
      <c r="A8" s="19" t="inlineStr">
        <is>
          <t>UC-003</t>
        </is>
      </c>
      <c r="B8" s="14" t="inlineStr">
        <is>
          <t>Fraud Detection System</t>
        </is>
      </c>
      <c r="C8" s="14" t="inlineStr">
        <is>
          <t>Finance</t>
        </is>
      </c>
      <c r="D8" s="15" t="n">
        <v>3</v>
      </c>
      <c r="E8" s="15" t="n">
        <v>3</v>
      </c>
      <c r="F8" s="15" t="n">
        <v>2</v>
      </c>
      <c r="G8" s="15" t="inlineStr">
        <is>
          <t>High</t>
        </is>
      </c>
      <c r="H8" s="15" t="inlineStr">
        <is>
          <t>Low</t>
        </is>
      </c>
      <c r="I8" s="33" t="n">
        <v>4</v>
      </c>
      <c r="J8" s="34">
        <f>MAX(0,MIN(100,MIN(I8,5)/5*70+(4-(IF(ISNUMBER(SEARCH("high",G8)),2,IF(ISNUMBER(SEARCH("medium",G8)),1,0))+IF(ISNUMBER(SEARCH("high",H8)),2,IF(ISNUMBER(SEARCH("medium",H8)),1,0))))/4*30))</f>
        <v/>
      </c>
      <c r="K8" s="19">
        <f>IF(AND(E8&gt;=2,F8&gt;=2),"Ready","Not yet")</f>
        <v/>
      </c>
      <c r="L8" s="19">
        <f>IF(K8="Not yet","Needs foundation",IF(J8&gt;=60,"Start now","Schedule"))</f>
        <v/>
      </c>
      <c r="N8" s="28">
        <f>AVERAGE(D8:F8)</f>
        <v/>
      </c>
      <c r="O8" s="28">
        <f>I8</f>
        <v/>
      </c>
    </row>
    <row r="9" ht="20" customHeight="1">
      <c r="A9" s="21" t="inlineStr">
        <is>
          <t>UC-004</t>
        </is>
      </c>
      <c r="B9" s="16" t="inlineStr">
        <is>
          <t>HR Talent Analytics</t>
        </is>
      </c>
      <c r="C9" s="16" t="inlineStr">
        <is>
          <t>HR</t>
        </is>
      </c>
      <c r="D9" s="15" t="n">
        <v>2</v>
      </c>
      <c r="E9" s="15" t="n">
        <v>1</v>
      </c>
      <c r="F9" s="15" t="n">
        <v>1</v>
      </c>
      <c r="G9" s="15" t="inlineStr">
        <is>
          <t>High (Privacy/Bias)</t>
        </is>
      </c>
      <c r="H9" s="15" t="inlineStr">
        <is>
          <t>High</t>
        </is>
      </c>
      <c r="I9" s="33" t="n">
        <v>1.8</v>
      </c>
      <c r="J9" s="34">
        <f>MAX(0,MIN(100,MIN(I9,5)/5*70+(4-(IF(ISNUMBER(SEARCH("high",G9)),2,IF(ISNUMBER(SEARCH("medium",G9)),1,0))+IF(ISNUMBER(SEARCH("high",H9)),2,IF(ISNUMBER(SEARCH("medium",H9)),1,0))))/4*30))</f>
        <v/>
      </c>
      <c r="K9" s="21">
        <f>IF(AND(E9&gt;=2,F9&gt;=2),"Ready","Not yet")</f>
        <v/>
      </c>
      <c r="L9" s="21">
        <f>IF(K9="Not yet","Needs foundation",IF(J9&gt;=60,"Start now","Schedule"))</f>
        <v/>
      </c>
      <c r="N9" s="28">
        <f>AVERAGE(D9:F9)</f>
        <v/>
      </c>
      <c r="O9" s="28">
        <f>I9</f>
        <v/>
      </c>
    </row>
    <row r="10" ht="20" customHeight="1">
      <c r="A10" s="19" t="inlineStr">
        <is>
          <t>UC-005</t>
        </is>
      </c>
      <c r="B10" s="14" t="inlineStr">
        <is>
          <t>Sales Forecasting</t>
        </is>
      </c>
      <c r="C10" s="14" t="inlineStr">
        <is>
          <t>Sales</t>
        </is>
      </c>
      <c r="D10" s="15" t="n">
        <v>3</v>
      </c>
      <c r="E10" s="15" t="n">
        <v>2</v>
      </c>
      <c r="F10" s="15" t="n">
        <v>2</v>
      </c>
      <c r="G10" s="15" t="inlineStr">
        <is>
          <t>Low</t>
        </is>
      </c>
      <c r="H10" s="15" t="inlineStr">
        <is>
          <t>Medium</t>
        </is>
      </c>
      <c r="I10" s="33" t="n">
        <v>2</v>
      </c>
      <c r="J10" s="34">
        <f>MAX(0,MIN(100,MIN(I10,5)/5*70+(4-(IF(ISNUMBER(SEARCH("high",G10)),2,IF(ISNUMBER(SEARCH("medium",G10)),1,0))+IF(ISNUMBER(SEARCH("high",H10)),2,IF(ISNUMBER(SEARCH("medium",H10)),1,0))))/4*30))</f>
        <v/>
      </c>
      <c r="K10" s="19">
        <f>IF(AND(E10&gt;=2,F10&gt;=2),"Ready","Not yet")</f>
        <v/>
      </c>
      <c r="L10" s="19">
        <f>IF(K10="Not yet","Needs foundation",IF(J10&gt;=60,"Start now","Schedule"))</f>
        <v/>
      </c>
      <c r="N10" s="28">
        <f>AVERAGE(D10:F10)</f>
        <v/>
      </c>
      <c r="O10" s="28">
        <f>I10</f>
        <v/>
      </c>
    </row>
    <row r="11" ht="20" customHeight="1">
      <c r="A11" s="21" t="inlineStr">
        <is>
          <t>UC-006</t>
        </is>
      </c>
      <c r="B11" s="16" t="inlineStr">
        <is>
          <t>Supply Chain Optimization</t>
        </is>
      </c>
      <c r="C11" s="16" t="inlineStr">
        <is>
          <t>Supply Chain</t>
        </is>
      </c>
      <c r="D11" s="15" t="n">
        <v>2</v>
      </c>
      <c r="E11" s="15" t="n">
        <v>1</v>
      </c>
      <c r="F11" s="15" t="n">
        <v>1</v>
      </c>
      <c r="G11" s="15" t="inlineStr">
        <is>
          <t>Medium</t>
        </is>
      </c>
      <c r="H11" s="15" t="inlineStr">
        <is>
          <t>High</t>
        </is>
      </c>
      <c r="I11" s="33" t="n">
        <v>3.5</v>
      </c>
      <c r="J11" s="34">
        <f>MAX(0,MIN(100,MIN(I11,5)/5*70+(4-(IF(ISNUMBER(SEARCH("high",G11)),2,IF(ISNUMBER(SEARCH("medium",G11)),1,0))+IF(ISNUMBER(SEARCH("high",H11)),2,IF(ISNUMBER(SEARCH("medium",H11)),1,0))))/4*30))</f>
        <v/>
      </c>
      <c r="K11" s="21">
        <f>IF(AND(E11&gt;=2,F11&gt;=2),"Ready","Not yet")</f>
        <v/>
      </c>
      <c r="L11" s="21">
        <f>IF(K11="Not yet","Needs foundation",IF(J11&gt;=60,"Start now","Schedule"))</f>
        <v/>
      </c>
      <c r="N11" s="28">
        <f>AVERAGE(D11:F11)</f>
        <v/>
      </c>
      <c r="O11" s="28">
        <f>I11</f>
        <v/>
      </c>
    </row>
    <row r="12" ht="20" customHeight="1">
      <c r="A12" s="19" t="inlineStr">
        <is>
          <t>UC-007</t>
        </is>
      </c>
      <c r="B12" s="14" t="inlineStr">
        <is>
          <t>Document Processing &amp; RPA</t>
        </is>
      </c>
      <c r="C12" s="14" t="inlineStr">
        <is>
          <t>Operations</t>
        </is>
      </c>
      <c r="D12" s="15" t="n">
        <v>2</v>
      </c>
      <c r="E12" s="15" t="n">
        <v>2</v>
      </c>
      <c r="F12" s="15" t="n">
        <v>2</v>
      </c>
      <c r="G12" s="15" t="inlineStr">
        <is>
          <t>Low</t>
        </is>
      </c>
      <c r="H12" s="15" t="inlineStr">
        <is>
          <t>Low</t>
        </is>
      </c>
      <c r="I12" s="33" t="n">
        <v>2.2</v>
      </c>
      <c r="J12" s="34">
        <f>MAX(0,MIN(100,MIN(I12,5)/5*70+(4-(IF(ISNUMBER(SEARCH("high",G12)),2,IF(ISNUMBER(SEARCH("medium",G12)),1,0))+IF(ISNUMBER(SEARCH("high",H12)),2,IF(ISNUMBER(SEARCH("medium",H12)),1,0))))/4*30))</f>
        <v/>
      </c>
      <c r="K12" s="19">
        <f>IF(AND(E12&gt;=2,F12&gt;=2),"Ready","Not yet")</f>
        <v/>
      </c>
      <c r="L12" s="19">
        <f>IF(K12="Not yet","Needs foundation",IF(J12&gt;=60,"Start now","Schedule"))</f>
        <v/>
      </c>
      <c r="N12" s="28">
        <f>AVERAGE(D12:F12)</f>
        <v/>
      </c>
      <c r="O12" s="28">
        <f>I12</f>
        <v/>
      </c>
    </row>
    <row r="13" ht="20" customHeight="1">
      <c r="A13" s="21" t="inlineStr">
        <is>
          <t>UC-008</t>
        </is>
      </c>
      <c r="B13" s="16" t="inlineStr">
        <is>
          <t>Product Recommendation Engine</t>
        </is>
      </c>
      <c r="C13" s="16" t="inlineStr">
        <is>
          <t>Marketing</t>
        </is>
      </c>
      <c r="D13" s="15" t="n">
        <v>2</v>
      </c>
      <c r="E13" s="15" t="n">
        <v>2</v>
      </c>
      <c r="F13" s="15" t="n">
        <v>1</v>
      </c>
      <c r="G13" s="15" t="inlineStr">
        <is>
          <t>High (Fairness)</t>
        </is>
      </c>
      <c r="H13" s="15" t="inlineStr">
        <is>
          <t>Medium</t>
        </is>
      </c>
      <c r="I13" s="33" t="n">
        <v>2.8</v>
      </c>
      <c r="J13" s="34">
        <f>MAX(0,MIN(100,MIN(I13,5)/5*70+(4-(IF(ISNUMBER(SEARCH("high",G13)),2,IF(ISNUMBER(SEARCH("medium",G13)),1,0))+IF(ISNUMBER(SEARCH("high",H13)),2,IF(ISNUMBER(SEARCH("medium",H13)),1,0))))/4*30))</f>
        <v/>
      </c>
      <c r="K13" s="21">
        <f>IF(AND(E13&gt;=2,F13&gt;=2),"Ready","Not yet")</f>
        <v/>
      </c>
      <c r="L13" s="21">
        <f>IF(K13="Not yet","Needs foundation",IF(J13&gt;=60,"Start now","Schedule"))</f>
        <v/>
      </c>
      <c r="N13" s="28">
        <f>AVERAGE(D13:F13)</f>
        <v/>
      </c>
      <c r="O13" s="28">
        <f>I13</f>
        <v/>
      </c>
    </row>
    <row r="14" ht="20" customHeight="1">
      <c r="A14" s="19" t="inlineStr">
        <is>
          <t>UC-009</t>
        </is>
      </c>
      <c r="B14" s="14" t="inlineStr">
        <is>
          <t>Pricing Optimization</t>
        </is>
      </c>
      <c r="C14" s="14" t="inlineStr">
        <is>
          <t>Revenue</t>
        </is>
      </c>
      <c r="D14" s="15" t="n">
        <v>2</v>
      </c>
      <c r="E14" s="15" t="n">
        <v>2</v>
      </c>
      <c r="F14" s="15" t="n">
        <v>1</v>
      </c>
      <c r="G14" s="15" t="inlineStr">
        <is>
          <t>Medium</t>
        </is>
      </c>
      <c r="H14" s="15" t="inlineStr">
        <is>
          <t>Medium</t>
        </is>
      </c>
      <c r="I14" s="33" t="n">
        <v>3.2</v>
      </c>
      <c r="J14" s="34">
        <f>MAX(0,MIN(100,MIN(I14,5)/5*70+(4-(IF(ISNUMBER(SEARCH("high",G14)),2,IF(ISNUMBER(SEARCH("medium",G14)),1,0))+IF(ISNUMBER(SEARCH("high",H14)),2,IF(ISNUMBER(SEARCH("medium",H14)),1,0))))/4*30))</f>
        <v/>
      </c>
      <c r="K14" s="19">
        <f>IF(AND(E14&gt;=2,F14&gt;=2),"Ready","Not yet")</f>
        <v/>
      </c>
      <c r="L14" s="19">
        <f>IF(K14="Not yet","Needs foundation",IF(J14&gt;=60,"Start now","Schedule"))</f>
        <v/>
      </c>
      <c r="N14" s="28">
        <f>AVERAGE(D14:F14)</f>
        <v/>
      </c>
      <c r="O14" s="28">
        <f>I14</f>
        <v/>
      </c>
    </row>
    <row r="15" ht="20" customHeight="1">
      <c r="A15" s="21" t="inlineStr">
        <is>
          <t>UC-010</t>
        </is>
      </c>
      <c r="B15" s="16" t="inlineStr">
        <is>
          <t>Maintenance Prediction</t>
        </is>
      </c>
      <c r="C15" s="16" t="inlineStr">
        <is>
          <t>Operations</t>
        </is>
      </c>
      <c r="D15" s="15" t="n">
        <v>1</v>
      </c>
      <c r="E15" s="15" t="n">
        <v>1</v>
      </c>
      <c r="F15" s="15" t="n">
        <v>1</v>
      </c>
      <c r="G15" s="15" t="inlineStr">
        <is>
          <t>Low</t>
        </is>
      </c>
      <c r="H15" s="15" t="inlineStr">
        <is>
          <t>High</t>
        </is>
      </c>
      <c r="I15" s="33" t="n">
        <v>2.5</v>
      </c>
      <c r="J15" s="34">
        <f>MAX(0,MIN(100,MIN(I15,5)/5*70+(4-(IF(ISNUMBER(SEARCH("high",G15)),2,IF(ISNUMBER(SEARCH("medium",G15)),1,0))+IF(ISNUMBER(SEARCH("high",H15)),2,IF(ISNUMBER(SEARCH("medium",H15)),1,0))))/4*30))</f>
        <v/>
      </c>
      <c r="K15" s="21">
        <f>IF(AND(E15&gt;=2,F15&gt;=2),"Ready","Not yet")</f>
        <v/>
      </c>
      <c r="L15" s="21">
        <f>IF(K15="Not yet","Needs foundation",IF(J15&gt;=60,"Start now","Schedule"))</f>
        <v/>
      </c>
      <c r="N15" s="28">
        <f>AVERAGE(D15:F15)</f>
        <v/>
      </c>
      <c r="O15" s="28">
        <f>I15</f>
        <v/>
      </c>
    </row>
    <row r="16" ht="20" customHeight="1">
      <c r="A16" s="19" t="inlineStr">
        <is>
          <t>UC-011</t>
        </is>
      </c>
      <c r="B16" s="14" t="inlineStr">
        <is>
          <t>Employee Experience Analytics</t>
        </is>
      </c>
      <c r="C16" s="14" t="inlineStr">
        <is>
          <t>HR</t>
        </is>
      </c>
      <c r="D16" s="15" t="n">
        <v>2</v>
      </c>
      <c r="E16" s="15" t="n">
        <v>1</v>
      </c>
      <c r="F16" s="15" t="n">
        <v>1</v>
      </c>
      <c r="G16" s="15" t="inlineStr">
        <is>
          <t>High (Privacy/Bias)</t>
        </is>
      </c>
      <c r="H16" s="15" t="inlineStr">
        <is>
          <t>High</t>
        </is>
      </c>
      <c r="I16" s="33" t="n">
        <v>1.5</v>
      </c>
      <c r="J16" s="34">
        <f>MAX(0,MIN(100,MIN(I16,5)/5*70+(4-(IF(ISNUMBER(SEARCH("high",G16)),2,IF(ISNUMBER(SEARCH("medium",G16)),1,0))+IF(ISNUMBER(SEARCH("high",H16)),2,IF(ISNUMBER(SEARCH("medium",H16)),1,0))))/4*30))</f>
        <v/>
      </c>
      <c r="K16" s="19">
        <f>IF(AND(E16&gt;=2,F16&gt;=2),"Ready","Not yet")</f>
        <v/>
      </c>
      <c r="L16" s="19">
        <f>IF(K16="Not yet","Needs foundation",IF(J16&gt;=60,"Start now","Schedule"))</f>
        <v/>
      </c>
      <c r="N16" s="28">
        <f>AVERAGE(D16:F16)</f>
        <v/>
      </c>
      <c r="O16" s="28">
        <f>I16</f>
        <v/>
      </c>
    </row>
    <row r="17" ht="20" customHeight="1">
      <c r="A17" s="21" t="inlineStr">
        <is>
          <t>UC-012</t>
        </is>
      </c>
      <c r="B17" s="16" t="inlineStr">
        <is>
          <t>Market Intelligence &amp; News Analysis</t>
        </is>
      </c>
      <c r="C17" s="16" t="inlineStr">
        <is>
          <t>Strategy</t>
        </is>
      </c>
      <c r="D17" s="15" t="n">
        <v>2</v>
      </c>
      <c r="E17" s="15" t="n">
        <v>2</v>
      </c>
      <c r="F17" s="15" t="n">
        <v>2</v>
      </c>
      <c r="G17" s="15" t="inlineStr">
        <is>
          <t>Medium</t>
        </is>
      </c>
      <c r="H17" s="15" t="inlineStr">
        <is>
          <t>Medium</t>
        </is>
      </c>
      <c r="I17" s="33" t="n">
        <v>1.8</v>
      </c>
      <c r="J17" s="34">
        <f>MAX(0,MIN(100,MIN(I17,5)/5*70+(4-(IF(ISNUMBER(SEARCH("high",G17)),2,IF(ISNUMBER(SEARCH("medium",G17)),1,0))+IF(ISNUMBER(SEARCH("high",H17)),2,IF(ISNUMBER(SEARCH("medium",H17)),1,0))))/4*30))</f>
        <v/>
      </c>
      <c r="K17" s="21">
        <f>IF(AND(E17&gt;=2,F17&gt;=2),"Ready","Not yet")</f>
        <v/>
      </c>
      <c r="L17" s="21">
        <f>IF(K17="Not yet","Needs foundation",IF(J17&gt;=60,"Start now","Schedule"))</f>
        <v/>
      </c>
      <c r="N17" s="28">
        <f>AVERAGE(D17:F17)</f>
        <v/>
      </c>
      <c r="O17" s="28">
        <f>I17</f>
        <v/>
      </c>
    </row>
  </sheetData>
  <mergeCells count="1">
    <mergeCell ref="A3:L3"/>
  </mergeCells>
  <conditionalFormatting sqref="L6:L17">
    <cfRule type="cellIs" priority="1" operator="equal" dxfId="0">
      <formula>"Start now"</formula>
    </cfRule>
    <cfRule type="cellIs" priority="2" operator="equal" dxfId="1">
      <formula>"Needs foundation"</formula>
    </cfRule>
  </conditionalFormatting>
  <conditionalFormatting sqref="J6:J17">
    <cfRule type="colorScale" priority="3">
      <colorScale>
        <cfvo type="num" val="0"/>
        <cfvo type="num" val="100"/>
        <color rgb="00F6C9BC"/>
        <color rgb="00CDE8D8"/>
      </colorScale>
    </cfRule>
  </conditionalFormatting>
  <dataValidations count="1">
    <dataValidation sqref="D6 E6 F6 D7 E7 F7 D8 E8 F8 D9 E9 F9 D10 E10 F10 D11 E11 F11 D12 E12 F12 D13 E13 F13 D14 E14 F14 D15 E15 F15 D16 E16 F16 D17 E17 F17" showErrorMessage="1" showInputMessage="1" allowBlank="1" errorTitle="Out of range" error="Scores run from 0 to 5." type="whole" operator="between">
      <formula1>0</formula1>
      <formula2>5</formula2>
    </dataValidation>
  </dataValidations>
  <pageMargins left="0.75" right="0.75" top="1" bottom="1" header="0.5" footer="0.5"/>
  <pageSetup orientation="landscape" fitToWidth="1"/>
  <drawing xmlns:r="http://schemas.openxmlformats.org/officeDocument/2006/relationships" r:id="rId1"/>
</worksheet>
</file>

<file path=xl/worksheets/sheet8.xml><?xml version="1.0" encoding="utf-8"?>
<worksheet xmlns="http://schemas.openxmlformats.org/spreadsheetml/2006/main">
  <sheetPr>
    <tabColor rgb="009A9086"/>
    <outlinePr summaryBelow="1" summaryRight="1"/>
    <pageSetUpPr fitToPage="1"/>
  </sheetPr>
  <dimension ref="A1:G121"/>
  <sheetViews>
    <sheetView showGridLines="1" workbookViewId="0">
      <pane ySplit="1" topLeftCell="A2" activePane="bottomLeft" state="frozen"/>
      <selection pane="bottomLeft" activeCell="A1" sqref="A1"/>
    </sheetView>
  </sheetViews>
  <sheetFormatPr baseColWidth="8" defaultRowHeight="15"/>
  <cols>
    <col width="52" customWidth="1" min="1" max="1"/>
    <col width="30" customWidth="1" min="2" max="2"/>
    <col width="30" customWidth="1" min="3" max="3"/>
    <col width="30" customWidth="1" min="4" max="4"/>
    <col width="30" customWidth="1" min="5" max="5"/>
    <col width="30" customWidth="1" min="6" max="6"/>
    <col width="30" customWidth="1" min="7" max="7"/>
  </cols>
  <sheetData>
    <row r="1" ht="17.5" customHeight="1">
      <c r="A1" s="35" t="inlineStr">
        <is>
          <t>Ai-GenAI Strategic Assessment Framework</t>
        </is>
      </c>
    </row>
    <row r="2" ht="17.5" customHeight="1">
      <c r="A2" s="36" t="inlineStr">
        <is>
          <t>1. STRATEGIC ASSESSMENT TEMPLATE</t>
        </is>
      </c>
    </row>
    <row r="3" ht="17.5" customHeight="1">
      <c r="A3" s="36" t="inlineStr">
        <is>
          <t>Executive Summary Assessment Matrix</t>
        </is>
      </c>
    </row>
    <row r="4" ht="17.5" customHeight="1">
      <c r="A4" s="36" t="inlineStr">
        <is>
          <t>Organization:</t>
        </is>
      </c>
    </row>
    <row r="5" ht="17.5" customHeight="1">
      <c r="A5" s="36" t="inlineStr">
        <is>
          <t>Assessment Date:</t>
        </is>
      </c>
    </row>
    <row r="6" ht="17.5" customHeight="1">
      <c r="A6" s="36" t="inlineStr">
        <is>
          <t>Assessed by:</t>
        </is>
      </c>
    </row>
    <row r="7" ht="17.5" customHeight="1">
      <c r="A7" s="36" t="inlineStr">
        <is>
          <t>Next Review Date:</t>
        </is>
      </c>
    </row>
    <row r="8" ht="17.5" customHeight="1">
      <c r="A8" s="36" t="inlineStr">
        <is>
          <t>Phase 1: Strategic Alignment Assessment</t>
        </is>
      </c>
    </row>
    <row r="9" ht="17.5" customHeight="1">
      <c r="A9" s="36" t="inlineStr">
        <is>
          <t>A. Business Objectives Mapping</t>
        </is>
      </c>
    </row>
    <row r="10" ht="17.5" customHeight="1">
      <c r="A10" s="36" t="inlineStr">
        <is>
          <t>Business Objective</t>
        </is>
      </c>
      <c r="B10" s="36" t="inlineStr">
        <is>
          <t>Current State</t>
        </is>
      </c>
      <c r="C10" s="36" t="inlineStr">
        <is>
          <t>GenAI Opportunity</t>
        </is>
      </c>
      <c r="D10" s="36" t="inlineStr">
        <is>
          <t>Impact Score (1-5)</t>
        </is>
      </c>
      <c r="E10" s="36" t="inlineStr">
        <is>
          <t>Feasibility Score (1-5)</t>
        </is>
      </c>
    </row>
    <row r="11" ht="17.5" customHeight="1">
      <c r="A11" s="36" t="inlineStr">
        <is>
          <t>Revenue Growth</t>
        </is>
      </c>
    </row>
    <row r="12" ht="17.5" customHeight="1">
      <c r="A12" s="36" t="inlineStr">
        <is>
          <t>Cost Optimization</t>
        </is>
      </c>
    </row>
    <row r="13" ht="17.5" customHeight="1">
      <c r="A13" s="36" t="inlineStr">
        <is>
          <t>Customer Experience</t>
        </is>
      </c>
    </row>
    <row r="14" ht="17.5" customHeight="1">
      <c r="A14" s="36" t="inlineStr">
        <is>
          <t>Operational Efficiency</t>
        </is>
      </c>
    </row>
    <row r="15" ht="17.5" customHeight="1">
      <c r="A15" s="36" t="inlineStr">
        <is>
          <t>Innovation &amp; R&amp;D</t>
        </is>
      </c>
    </row>
    <row r="16" ht="17.5" customHeight="1">
      <c r="A16" s="36" t="inlineStr">
        <is>
          <t>Market Differentiation</t>
        </is>
      </c>
    </row>
    <row r="17" ht="17.5" customHeight="1">
      <c r="A17" s="36" t="inlineStr">
        <is>
          <t>Total Strategic Alignment Score:</t>
        </is>
      </c>
      <c r="B17" s="36" t="inlineStr">
        <is>
          <t xml:space="preserve"> ___/30</t>
        </is>
      </c>
    </row>
    <row r="18" ht="17.5" customHeight="1">
      <c r="A18" s="36" t="inlineStr">
        <is>
          <t>B. Competitive Advantage Analysis</t>
        </is>
      </c>
    </row>
    <row r="19" ht="31" customHeight="1">
      <c r="A19" s="36" t="inlineStr">
        <is>
          <t>Rate each area from 1 (No advantage) to 5 (Significant advantage):</t>
        </is>
      </c>
    </row>
    <row r="20" ht="17.5" customHeight="1">
      <c r="A20" s="36" t="inlineStr">
        <is>
          <t>Differentiation potential through GenAI:</t>
        </is>
      </c>
      <c r="B20" s="36" t="inlineStr">
        <is>
          <t>__________________</t>
        </is>
      </c>
    </row>
    <row r="21" ht="17.5" customHeight="1">
      <c r="A21" s="36" t="inlineStr">
        <is>
          <t>First-mover advantage opportunity:</t>
        </is>
      </c>
      <c r="B21" s="36" t="inlineStr">
        <is>
          <t>__________________</t>
        </is>
      </c>
    </row>
    <row r="22" ht="17.5" customHeight="1">
      <c r="A22" s="36" t="inlineStr">
        <is>
          <t xml:space="preserve">Customer value proposition enhancement: </t>
        </is>
      </c>
      <c r="B22" s="36" t="inlineStr">
        <is>
          <t>__________________</t>
        </is>
      </c>
    </row>
    <row r="23" ht="17.5" customHeight="1">
      <c r="A23" s="36" t="inlineStr">
        <is>
          <t>Cost leadership potential:</t>
        </is>
      </c>
      <c r="B23" s="36" t="inlineStr">
        <is>
          <t>__________________</t>
        </is>
      </c>
    </row>
    <row r="24" ht="17.5" customHeight="1">
      <c r="A24" s="36" t="inlineStr">
        <is>
          <t>Innovation acceleration capability:</t>
        </is>
      </c>
      <c r="B24" s="36" t="inlineStr">
        <is>
          <t>__________________</t>
        </is>
      </c>
    </row>
    <row r="25" ht="17.5" customHeight="1">
      <c r="A25" s="36" t="inlineStr">
        <is>
          <t>Total Competitive Score:</t>
        </is>
      </c>
      <c r="B25" s="36" t="inlineStr">
        <is>
          <t>______/25</t>
        </is>
      </c>
    </row>
    <row r="26" ht="17.5" customHeight="1">
      <c r="A26" s="36" t="inlineStr">
        <is>
          <t>Phase 2: Organizational Readiness Assessment</t>
        </is>
      </c>
    </row>
    <row r="27" ht="17.5" customHeight="1">
      <c r="A27" s="36" t="inlineStr">
        <is>
          <t>A. Data Infrastructure Maturity</t>
        </is>
      </c>
    </row>
    <row r="28" ht="17.5" customHeight="1">
      <c r="A28" s="36" t="inlineStr">
        <is>
          <t>Component</t>
        </is>
      </c>
      <c r="B28" s="36" t="inlineStr">
        <is>
          <t>Current State</t>
        </is>
      </c>
      <c r="C28" s="36" t="inlineStr">
        <is>
          <t>Required State</t>
        </is>
      </c>
      <c r="D28" s="36" t="inlineStr">
        <is>
          <t>Gap Analysis</t>
        </is>
      </c>
      <c r="E28" s="36" t="inlineStr">
        <is>
          <t>Action Required</t>
        </is>
      </c>
    </row>
    <row r="29" ht="17.5" customHeight="1">
      <c r="A29" s="36" t="inlineStr">
        <is>
          <t>Data Quality</t>
        </is>
      </c>
      <c r="B29" s="36" t="inlineStr">
        <is>
          <t>1-2-3-4-5</t>
        </is>
      </c>
      <c r="C29" s="36" t="inlineStr">
        <is>
          <t>1-2-3-4-5</t>
        </is>
      </c>
    </row>
    <row r="30" ht="17.5" customHeight="1">
      <c r="A30" s="36" t="inlineStr">
        <is>
          <t>Data Governance</t>
        </is>
      </c>
      <c r="B30" s="36" t="inlineStr">
        <is>
          <t>1-2-3-4-5</t>
        </is>
      </c>
      <c r="C30" s="36" t="inlineStr">
        <is>
          <t>1-2-3-4-5</t>
        </is>
      </c>
    </row>
    <row r="31" ht="17.5" customHeight="1">
      <c r="A31" s="36" t="inlineStr">
        <is>
          <t>Data Architecture</t>
        </is>
      </c>
      <c r="B31" s="36" t="inlineStr">
        <is>
          <t>1-2-3-4-5</t>
        </is>
      </c>
      <c r="C31" s="36" t="inlineStr">
        <is>
          <t>1-2-3-4-5</t>
        </is>
      </c>
    </row>
    <row r="32" ht="17.5" customHeight="1">
      <c r="A32" s="36" t="inlineStr">
        <is>
          <t>Data Security</t>
        </is>
      </c>
      <c r="B32" s="36" t="inlineStr">
        <is>
          <t>1-2-3-4-5</t>
        </is>
      </c>
      <c r="C32" s="36" t="inlineStr">
        <is>
          <t>1-2-3-4-5</t>
        </is>
      </c>
    </row>
    <row r="33" ht="17.5" customHeight="1">
      <c r="A33" s="36" t="inlineStr">
        <is>
          <t>Cloud Readiness</t>
        </is>
      </c>
      <c r="B33" s="36" t="inlineStr">
        <is>
          <t>1-2-3-4-5</t>
        </is>
      </c>
      <c r="C33" s="36" t="inlineStr">
        <is>
          <t>1-2-3-4-5</t>
        </is>
      </c>
    </row>
    <row r="34" ht="17.5" customHeight="1">
      <c r="A34" s="36" t="inlineStr">
        <is>
          <t>Data Readiness Score:</t>
        </is>
      </c>
      <c r="B34" s="36" t="inlineStr">
        <is>
          <t xml:space="preserve"> ___/25</t>
        </is>
      </c>
    </row>
    <row r="35" ht="17.5" customHeight="1">
      <c r="A35" s="36" t="inlineStr">
        <is>
          <t>B. Technical Capability Assessment</t>
        </is>
      </c>
    </row>
    <row r="36" ht="17.5" customHeight="1">
      <c r="A36" s="36" t="inlineStr">
        <is>
          <t xml:space="preserve">AI/ML expertise in-house: </t>
        </is>
      </c>
      <c r="B36" s="36" t="inlineStr">
        <is>
          <t>Low / Medium / High</t>
        </is>
      </c>
    </row>
    <row r="37" ht="17.5" customHeight="1">
      <c r="A37" s="36" t="inlineStr">
        <is>
          <t xml:space="preserve">Technology infrastructure scalability: </t>
        </is>
      </c>
      <c r="B37" s="36" t="inlineStr">
        <is>
          <t>Low / Medium / High</t>
        </is>
      </c>
    </row>
    <row r="38" ht="17.5" customHeight="1">
      <c r="A38" s="36" t="inlineStr">
        <is>
          <t xml:space="preserve">Integration capabilities: </t>
        </is>
      </c>
      <c r="B38" s="36" t="inlineStr">
        <is>
          <t>Low / Medium / High</t>
        </is>
      </c>
    </row>
    <row r="39" ht="17.5" customHeight="1">
      <c r="A39" s="36" t="inlineStr">
        <is>
          <t xml:space="preserve">Development resources: </t>
        </is>
      </c>
      <c r="B39" s="36" t="inlineStr">
        <is>
          <t>Limited / Adequate / Abundant</t>
        </is>
      </c>
    </row>
    <row r="40" ht="17.5" customHeight="1">
      <c r="A40" s="36" t="inlineStr">
        <is>
          <t xml:space="preserve">Vendor management capability: </t>
        </is>
      </c>
      <c r="B40" s="36" t="inlineStr">
        <is>
          <t>Developing / Competent / Expert</t>
        </is>
      </c>
    </row>
    <row r="41" ht="17.5" customHeight="1">
      <c r="A41" s="36" t="inlineStr">
        <is>
          <t>C. Cultural Change Readiness</t>
        </is>
      </c>
    </row>
    <row r="42" ht="17.5" customHeight="1">
      <c r="A42" s="36" t="inlineStr">
        <is>
          <t>Factor</t>
        </is>
      </c>
      <c r="B42" s="36" t="inlineStr">
        <is>
          <t>Assessment</t>
        </is>
      </c>
      <c r="C42" s="36" t="inlineStr">
        <is>
          <t>Comments</t>
        </is>
      </c>
    </row>
    <row r="43" ht="17.5" customHeight="1">
      <c r="A43" s="36" t="inlineStr">
        <is>
          <t>Leadership commitment to AI</t>
        </is>
      </c>
      <c r="B43" s="36" t="inlineStr">
        <is>
          <t>1-2-3-4-5</t>
        </is>
      </c>
    </row>
    <row r="44" ht="17.5" customHeight="1">
      <c r="A44" s="36" t="inlineStr">
        <is>
          <t>Innovation culture strength</t>
        </is>
      </c>
      <c r="B44" s="36" t="inlineStr">
        <is>
          <t>1-2-3-4-5</t>
        </is>
      </c>
    </row>
    <row r="45" ht="17.5" customHeight="1">
      <c r="A45" s="36" t="inlineStr">
        <is>
          <t>Risk tolerance level</t>
        </is>
      </c>
      <c r="B45" s="36" t="inlineStr">
        <is>
          <t>1-2-3-4-5</t>
        </is>
      </c>
    </row>
    <row r="46" ht="17.5" customHeight="1">
      <c r="A46" s="36" t="inlineStr">
        <is>
          <t>Learning agility</t>
        </is>
      </c>
      <c r="B46" s="36" t="inlineStr">
        <is>
          <t>1-2-3-4-5</t>
        </is>
      </c>
    </row>
    <row r="47" ht="17.5" customHeight="1">
      <c r="A47" s="36" t="inlineStr">
        <is>
          <t>Change adaptability</t>
        </is>
      </c>
      <c r="B47" s="36" t="inlineStr">
        <is>
          <t>1-2-3-4-5</t>
        </is>
      </c>
    </row>
    <row r="48" ht="17.5" customHeight="1">
      <c r="A48" s="36" t="inlineStr">
        <is>
          <t>Cross-functional collaboration</t>
        </is>
      </c>
      <c r="B48" s="36" t="inlineStr">
        <is>
          <t>1-2-3-4-5</t>
        </is>
      </c>
    </row>
    <row r="49" ht="17.5" customHeight="1">
      <c r="A49" s="36" t="inlineStr">
        <is>
          <t>Cultural Readiness Score:</t>
        </is>
      </c>
      <c r="B49" s="36" t="inlineStr">
        <is>
          <t xml:space="preserve"> ___/30</t>
        </is>
      </c>
    </row>
    <row r="50" ht="17.5" customHeight="1">
      <c r="A50" s="36" t="inlineStr">
        <is>
          <t>Phase 3: Use Case Prioritization Matrix</t>
        </is>
      </c>
    </row>
    <row r="51" ht="17.5" customHeight="1">
      <c r="A51" s="36" t="inlineStr">
        <is>
          <t>High-Impact Opportunity Identification</t>
        </is>
      </c>
    </row>
    <row r="52" ht="17.5" customHeight="1">
      <c r="A52" s="36" t="inlineStr">
        <is>
          <t>For each potential use case, score from 1-5:</t>
        </is>
      </c>
    </row>
    <row r="53" ht="17.5" customHeight="1">
      <c r="A53" s="36" t="inlineStr">
        <is>
          <t>Use Case</t>
        </is>
      </c>
      <c r="B53" s="36" t="inlineStr">
        <is>
          <t>Business Value</t>
        </is>
      </c>
      <c r="C53" s="36" t="inlineStr">
        <is>
          <t>Technical Feasibility</t>
        </is>
      </c>
      <c r="D53" s="36" t="inlineStr">
        <is>
          <t>Implementation Speed</t>
        </is>
      </c>
      <c r="E53" s="36" t="inlineStr">
        <is>
          <t>Resource Requirement</t>
        </is>
      </c>
      <c r="F53" s="36" t="inlineStr">
        <is>
          <t>Risk Level</t>
        </is>
      </c>
      <c r="G53" s="36" t="inlineStr">
        <is>
          <t>Priority Score</t>
        </is>
      </c>
    </row>
    <row r="54" ht="17.5" customHeight="1">
      <c r="A54" s="36" t="inlineStr">
        <is>
          <t>Customer Service AI</t>
        </is>
      </c>
    </row>
    <row r="55" ht="17.5" customHeight="1">
      <c r="A55" s="36" t="inlineStr">
        <is>
          <t>Process Automation</t>
        </is>
      </c>
    </row>
    <row r="56" ht="17.5" customHeight="1">
      <c r="A56" s="36" t="inlineStr">
        <is>
          <t>Content Generation</t>
        </is>
      </c>
    </row>
    <row r="57" ht="17.5" customHeight="1">
      <c r="A57" s="36" t="inlineStr">
        <is>
          <t>Data Analytics &amp; Insights</t>
        </is>
      </c>
    </row>
    <row r="58" ht="17.5" customHeight="1">
      <c r="A58" s="36" t="inlineStr">
        <is>
          <t>Product Development</t>
        </is>
      </c>
    </row>
    <row r="59" ht="17.5" customHeight="1">
      <c r="A59" s="36" t="inlineStr">
        <is>
          <t>Sales &amp; Marketing Optimization</t>
        </is>
      </c>
    </row>
    <row r="60" ht="17.5" customHeight="1">
      <c r="A60" s="36" t="inlineStr">
        <is>
          <t>Priority Ranking:</t>
        </is>
      </c>
      <c r="B60" s="36" t="inlineStr">
        <is>
          <t>1-2-3-4-5</t>
        </is>
      </c>
    </row>
    <row r="61" ht="17.5" customHeight="1">
      <c r="A61" s="36" t="inlineStr">
        <is>
          <t xml:space="preserve"> Score: </t>
        </is>
      </c>
    </row>
    <row r="62" ht="17.5" customHeight="1">
      <c r="A62" s="36" t="inlineStr">
        <is>
          <t xml:space="preserve"> Score: </t>
        </is>
      </c>
    </row>
    <row r="63" ht="17.5" customHeight="1">
      <c r="A63" s="36" t="inlineStr">
        <is>
          <t xml:space="preserve"> Score: </t>
        </is>
      </c>
    </row>
    <row r="64" ht="17.5" customHeight="1">
      <c r="A64" s="36" t="inlineStr">
        <is>
          <t xml:space="preserve"> Score: </t>
        </is>
      </c>
    </row>
    <row r="65" ht="17.5" customHeight="1">
      <c r="A65" s="36" t="inlineStr">
        <is>
          <t xml:space="preserve"> Score: </t>
        </is>
      </c>
    </row>
    <row r="66" ht="17.5" customHeight="1">
      <c r="A66" s="36" t="inlineStr">
        <is>
          <t xml:space="preserve"> Score: </t>
        </is>
      </c>
    </row>
    <row r="67" ht="17.5" customHeight="1">
      <c r="A67" s="36" t="inlineStr">
        <is>
          <t>Phase 4: Risk Assessment Framework</t>
        </is>
      </c>
    </row>
    <row r="68" ht="17.5" customHeight="1">
      <c r="A68" s="36" t="inlineStr">
        <is>
          <t>A. Strategic Risks</t>
        </is>
      </c>
    </row>
    <row r="69" ht="17.5" customHeight="1">
      <c r="A69" s="36" t="inlineStr">
        <is>
          <t>Competitive Response Risk:</t>
        </is>
      </c>
      <c r="B69" s="36" t="inlineStr">
        <is>
          <t xml:space="preserve"> Low / Medium / High</t>
        </is>
      </c>
    </row>
    <row r="70" ht="17.5" customHeight="1">
      <c r="A70" s="36" t="inlineStr">
        <is>
          <t>Technology Obsolescence Risk:</t>
        </is>
      </c>
      <c r="B70" s="36" t="inlineStr">
        <is>
          <t xml:space="preserve"> Low / Medium / High</t>
        </is>
      </c>
    </row>
    <row r="71" ht="17.5" customHeight="1">
      <c r="A71" s="36" t="inlineStr">
        <is>
          <t>Implementation Failure Risk:</t>
        </is>
      </c>
      <c r="B71" s="36" t="inlineStr">
        <is>
          <t xml:space="preserve"> Low / Medium / High</t>
        </is>
      </c>
    </row>
    <row r="72" ht="17.5" customHeight="1">
      <c r="A72" s="36" t="inlineStr">
        <is>
          <t>ROI Shortfall Risk:</t>
        </is>
      </c>
      <c r="B72" s="36" t="inlineStr">
        <is>
          <t xml:space="preserve"> Low / Medium / High</t>
        </is>
      </c>
    </row>
    <row r="73" ht="17.5" customHeight="1">
      <c r="A73" s="36" t="inlineStr">
        <is>
          <t>B. Operational Risks</t>
        </is>
      </c>
    </row>
    <row r="74" ht="17.5" customHeight="1">
      <c r="A74" s="36" t="inlineStr">
        <is>
          <t>Data Privacy &amp; Security:</t>
        </is>
      </c>
      <c r="B74" s="36" t="inlineStr">
        <is>
          <t xml:space="preserve"> Low / Medium / High</t>
        </is>
      </c>
    </row>
    <row r="75" ht="17.5" customHeight="1">
      <c r="A75" s="36" t="inlineStr">
        <is>
          <t>Regulatory Compliance:</t>
        </is>
      </c>
      <c r="B75" s="36" t="inlineStr">
        <is>
          <t xml:space="preserve"> Low / Medium / High</t>
        </is>
      </c>
    </row>
    <row r="76" ht="17.5" customHeight="1">
      <c r="A76" s="36" t="inlineStr">
        <is>
          <t>System Integration Complexity:</t>
        </is>
      </c>
      <c r="B76" s="36" t="inlineStr">
        <is>
          <t xml:space="preserve"> Low / Medium / High</t>
        </is>
      </c>
    </row>
    <row r="77" ht="17.5" customHeight="1">
      <c r="A77" s="36" t="inlineStr">
        <is>
          <t>Vendor Dependency:</t>
        </is>
      </c>
      <c r="B77" s="36" t="inlineStr">
        <is>
          <t xml:space="preserve"> Low / Medium / High</t>
        </is>
      </c>
    </row>
    <row r="78" ht="17.5" customHeight="1">
      <c r="A78" s="36" t="inlineStr">
        <is>
          <t>C. Organizational Risks</t>
        </is>
      </c>
    </row>
    <row r="79" ht="17.5" customHeight="1">
      <c r="A79" s="36" t="inlineStr">
        <is>
          <t>Talent Acquisition/Retention:</t>
        </is>
      </c>
      <c r="B79" s="36" t="inlineStr">
        <is>
          <t xml:space="preserve"> Low / Medium / High</t>
        </is>
      </c>
    </row>
    <row r="80" ht="17.5" customHeight="1">
      <c r="A80" s="36" t="inlineStr">
        <is>
          <t>Change Management Resistance:</t>
        </is>
      </c>
      <c r="B80" s="36" t="inlineStr">
        <is>
          <t xml:space="preserve"> Low / Medium / High</t>
        </is>
      </c>
    </row>
    <row r="81" ht="17.5" customHeight="1">
      <c r="A81" s="36" t="inlineStr">
        <is>
          <t>Cultural Misalignment:</t>
        </is>
      </c>
      <c r="B81" s="36" t="inlineStr">
        <is>
          <t xml:space="preserve"> Low / Medium / High</t>
        </is>
      </c>
    </row>
    <row r="82" ht="17.5" customHeight="1">
      <c r="A82" s="36" t="inlineStr">
        <is>
          <t>Stakeholder Buy-in:</t>
        </is>
      </c>
      <c r="B82" s="36" t="inlineStr">
        <is>
          <t xml:space="preserve"> Low / Medium / High</t>
        </is>
      </c>
    </row>
    <row r="83" ht="17.5" customHeight="1">
      <c r="A83" s="36" t="inlineStr">
        <is>
          <t>Overall Risk Level:</t>
        </is>
      </c>
      <c r="B83" s="36" t="inlineStr">
        <is>
          <t xml:space="preserve"> Low / Medium / High</t>
        </is>
      </c>
    </row>
    <row r="84" ht="17.5" customHeight="1">
      <c r="A84" s="36" t="inlineStr">
        <is>
          <t>Phase 5: Resource Requirement Analysis</t>
        </is>
      </c>
    </row>
    <row r="85" ht="17.5" customHeight="1">
      <c r="A85" s="36" t="inlineStr">
        <is>
          <t>A. Financial Investment Estimation</t>
        </is>
      </c>
    </row>
    <row r="86" ht="17.5" customHeight="1">
      <c r="A86" s="36" t="inlineStr">
        <is>
          <t>Category</t>
        </is>
      </c>
      <c r="B86" s="36" t="inlineStr">
        <is>
          <t>Year 1</t>
        </is>
      </c>
      <c r="C86" s="36" t="inlineStr">
        <is>
          <t>Year 2</t>
        </is>
      </c>
      <c r="D86" s="36" t="inlineStr">
        <is>
          <t>Year 3</t>
        </is>
      </c>
      <c r="E86" s="36" t="inlineStr">
        <is>
          <t>Total</t>
        </is>
      </c>
    </row>
    <row r="87" ht="17.5" customHeight="1">
      <c r="A87" s="36" t="inlineStr">
        <is>
          <t>Technology Infrastructure</t>
        </is>
      </c>
    </row>
    <row r="88" ht="17.5" customHeight="1">
      <c r="A88" s="36" t="inlineStr">
        <is>
          <t>Software Licensing</t>
        </is>
      </c>
    </row>
    <row r="89" ht="17.5" customHeight="1">
      <c r="A89" s="36" t="inlineStr">
        <is>
          <t>Professional Services</t>
        </is>
      </c>
    </row>
    <row r="90" ht="17.5" customHeight="1">
      <c r="A90" s="36" t="inlineStr">
        <is>
          <t>Internal Personnel</t>
        </is>
      </c>
    </row>
    <row r="91" ht="17.5" customHeight="1">
      <c r="A91" s="36" t="inlineStr">
        <is>
          <t>Training &amp; Development</t>
        </is>
      </c>
    </row>
    <row r="92" ht="17.5" customHeight="1">
      <c r="A92" s="36" t="inlineStr">
        <is>
          <t>Total Investment</t>
        </is>
      </c>
    </row>
    <row r="93" ht="17.5" customHeight="1">
      <c r="A93" s="36" t="inlineStr">
        <is>
          <t>B. Human Resource Requirements</t>
        </is>
      </c>
    </row>
    <row r="94" ht="17.5" customHeight="1">
      <c r="A94" s="36" t="inlineStr">
        <is>
          <t>Role</t>
        </is>
      </c>
      <c r="B94" s="36" t="inlineStr">
        <is>
          <t>Current Capacity</t>
        </is>
      </c>
      <c r="C94" s="36" t="inlineStr">
        <is>
          <t>Required Capacity</t>
        </is>
      </c>
      <c r="D94" s="36" t="inlineStr">
        <is>
          <t>Gap</t>
        </is>
      </c>
      <c r="E94" s="36" t="inlineStr">
        <is>
          <t>Acquisition Strategy</t>
        </is>
      </c>
    </row>
    <row r="95" ht="17.5" customHeight="1">
      <c r="A95" s="36" t="inlineStr">
        <is>
          <t>AI/ML Engineers</t>
        </is>
      </c>
    </row>
    <row r="96" ht="17.5" customHeight="1">
      <c r="A96" s="36" t="inlineStr">
        <is>
          <t>Data Scientists</t>
        </is>
      </c>
    </row>
    <row r="97" ht="17.5" customHeight="1">
      <c r="A97" s="36" t="inlineStr">
        <is>
          <t>Product Managers</t>
        </is>
      </c>
    </row>
    <row r="98" ht="17.5" customHeight="1">
      <c r="A98" s="36" t="inlineStr">
        <is>
          <t>Change Managers</t>
        </is>
      </c>
    </row>
    <row r="99" ht="17.5" customHeight="1">
      <c r="A99" s="36" t="inlineStr">
        <is>
          <t>Business Analysts</t>
        </is>
      </c>
    </row>
    <row r="100" ht="17.5" customHeight="1">
      <c r="A100" s="36" t="inlineStr">
        <is>
          <t>Phase 6: Strategic Recommendations</t>
        </is>
      </c>
    </row>
    <row r="101" ht="17.5" customHeight="1">
      <c r="A101" s="36" t="inlineStr">
        <is>
          <t>A. Readiness Assessment Summary</t>
        </is>
      </c>
    </row>
    <row r="102" ht="17.5" customHeight="1">
      <c r="A102" s="36" t="inlineStr">
        <is>
          <t>Strategic Alignment Score:</t>
        </is>
      </c>
      <c r="B102" s="36" t="inlineStr">
        <is>
          <t xml:space="preserve"> ___/55</t>
        </is>
      </c>
    </row>
    <row r="103" ht="17.5" customHeight="1">
      <c r="A103" s="36" t="inlineStr">
        <is>
          <t>Organizational Readiness Score:</t>
        </is>
      </c>
      <c r="B103" s="36" t="inlineStr">
        <is>
          <t xml:space="preserve"> ___/55</t>
        </is>
      </c>
    </row>
    <row r="104" ht="31" customHeight="1">
      <c r="A104" s="36" t="inlineStr">
        <is>
          <t>Overall Readiness Level:</t>
        </is>
      </c>
      <c r="B104" s="36" t="inlineStr">
        <is>
          <t>Not Ready / Developing / Ready / Highly Ready</t>
        </is>
      </c>
    </row>
    <row r="105" ht="17.5" customHeight="1">
      <c r="A105" s="36" t="inlineStr">
        <is>
          <t>B. Recommended Action Plan</t>
        </is>
      </c>
    </row>
    <row r="106" ht="17.5" customHeight="1">
      <c r="A106" s="36" t="inlineStr">
        <is>
          <t>Immediate Actions (0-3 months):</t>
        </is>
      </c>
    </row>
    <row r="107" ht="17.5" customHeight="1">
      <c r="A107" s="36" t="inlineStr">
        <is>
          <t>Short-term Initiatives (3-12 months):</t>
        </is>
      </c>
    </row>
    <row r="108" ht="17.5" customHeight="1">
      <c r="A108" s="36" t="inlineStr">
        <is>
          <t>Long-term Strategy (12+ months):</t>
        </is>
      </c>
    </row>
    <row r="109" ht="17.5" customHeight="1">
      <c r="A109" s="36" t="inlineStr">
        <is>
          <t>C. Success Metrics Definition</t>
        </is>
      </c>
    </row>
    <row r="110" ht="17.5" customHeight="1">
      <c r="A110" s="36" t="inlineStr">
        <is>
          <t>Metric Category</t>
        </is>
      </c>
      <c r="B110" s="36" t="inlineStr">
        <is>
          <t>Key Performance Indicator</t>
        </is>
      </c>
      <c r="C110" s="36" t="inlineStr">
        <is>
          <t>Target</t>
        </is>
      </c>
      <c r="D110" s="36" t="inlineStr">
        <is>
          <t>Measurement Method</t>
        </is>
      </c>
    </row>
    <row r="111" ht="17.5" customHeight="1">
      <c r="A111" s="36" t="inlineStr">
        <is>
          <t>Strategic</t>
        </is>
      </c>
    </row>
    <row r="112" ht="17.5" customHeight="1">
      <c r="A112" s="36" t="inlineStr">
        <is>
          <t>Operational</t>
        </is>
      </c>
    </row>
    <row r="113" ht="17.5" customHeight="1">
      <c r="A113" s="36" t="inlineStr">
        <is>
          <t>Financial</t>
        </is>
      </c>
    </row>
    <row r="114" ht="17.5" customHeight="1">
      <c r="A114" s="36" t="inlineStr">
        <is>
          <t>Innovation</t>
        </is>
      </c>
    </row>
    <row r="115" ht="17.5" customHeight="1">
      <c r="A115" s="36" t="inlineStr">
        <is>
          <t>D. Next Steps &amp; Timeline</t>
        </is>
      </c>
    </row>
    <row r="116" ht="17.5" customHeight="1">
      <c r="A116" s="36" t="inlineStr">
        <is>
          <t>Action Item</t>
        </is>
      </c>
      <c r="B116" s="36" t="inlineStr">
        <is>
          <t>Owner</t>
        </is>
      </c>
      <c r="C116" s="36" t="inlineStr">
        <is>
          <t>Due Date</t>
        </is>
      </c>
      <c r="D116" s="36" t="inlineStr">
        <is>
          <t>Dependencies</t>
        </is>
      </c>
    </row>
    <row r="117" ht="17.5" customHeight="1">
      <c r="A117" s="36" t="inlineStr">
        <is>
          <t>Assessment Completed by:</t>
        </is>
      </c>
    </row>
    <row r="118" ht="17.5" customHeight="1">
      <c r="A118" s="36" t="inlineStr">
        <is>
          <t>Date:</t>
        </is>
      </c>
    </row>
    <row r="119" ht="17.5" customHeight="1">
      <c r="A119" s="36" t="inlineStr">
        <is>
          <t>Approved by:</t>
        </is>
      </c>
    </row>
    <row r="120" ht="17.5" customHeight="1">
      <c r="A120" s="36" t="inlineStr">
        <is>
          <t>Date:</t>
        </is>
      </c>
    </row>
    <row r="121" ht="44.5" customHeight="1">
      <c r="A121" s="36" t="inlineStr">
        <is>
          <t>This strategic assessment should be reviewed quarterly and updated annually to ensure continued alignment with organizational strategy and market conditions.</t>
        </is>
      </c>
    </row>
  </sheetData>
  <pageMargins left="0.75" right="0.75" top="1" bottom="1" header="0.5" footer="0.5"/>
  <pageSetup orientation="landscape" fitToWidth="1"/>
</worksheet>
</file>

<file path=xl/worksheets/sheet9.xml><?xml version="1.0" encoding="utf-8"?>
<worksheet xmlns="http://schemas.openxmlformats.org/spreadsheetml/2006/main">
  <sheetPr>
    <tabColor rgb="009A9086"/>
    <outlinePr summaryBelow="1" summaryRight="1"/>
    <pageSetUpPr fitToPage="1"/>
  </sheetPr>
  <dimension ref="A1:E173"/>
  <sheetViews>
    <sheetView showGridLines="1" workbookViewId="0">
      <pane ySplit="1" topLeftCell="A2" activePane="bottomLeft" state="frozen"/>
      <selection pane="bottomLeft" activeCell="A1" sqref="A1"/>
    </sheetView>
  </sheetViews>
  <sheetFormatPr baseColWidth="8" defaultRowHeight="15"/>
  <cols>
    <col width="52" customWidth="1" min="1" max="1"/>
    <col width="30" customWidth="1" min="2" max="2"/>
    <col width="30" customWidth="1" min="3" max="3"/>
    <col width="30" customWidth="1" min="4" max="4"/>
    <col width="30" customWidth="1" min="5" max="5"/>
    <col width="30" customWidth="1" min="6" max="6"/>
    <col width="30" customWidth="1" min="7" max="7"/>
  </cols>
  <sheetData>
    <row r="1" ht="17.5" customHeight="1">
      <c r="A1" s="35" t="inlineStr">
        <is>
          <t>Executive Summary</t>
        </is>
      </c>
    </row>
    <row r="2" ht="58" customHeight="1">
      <c r="A2" s="36" t="inlineStr">
        <is>
          <t>This comprehensive framework enables organizations to calculate, track, and optimize the Return on Investment (ROI) for GenAI initiatives. It includes both quantitative metrics and qualitative benefits assessment.</t>
        </is>
      </c>
    </row>
    <row r="3" ht="17.5" customHeight="1">
      <c r="A3" s="36" t="inlineStr">
        <is>
          <t>A. ROI Calculation Methodology</t>
        </is>
      </c>
    </row>
    <row r="4" ht="44.5" customHeight="1">
      <c r="A4" s="36" t="inlineStr">
        <is>
          <t>Core ROI Formula</t>
        </is>
      </c>
      <c r="B4" s="36" t="inlineStr">
        <is>
          <t>ROI = (Net Benefits - Total Investment) / Total Investment × 100</t>
        </is>
      </c>
    </row>
    <row r="5" ht="17.5" customHeight="1">
      <c r="A5" s="36" t="inlineStr">
        <is>
          <t>Where:</t>
        </is>
      </c>
    </row>
    <row r="6" ht="31" customHeight="1">
      <c r="A6" s="36" t="inlineStr">
        <is>
          <t>Net Benefits</t>
        </is>
      </c>
      <c r="B6" s="36" t="inlineStr">
        <is>
          <t xml:space="preserve"> = Total Benefits - Total Costs (operational, ongoing)</t>
        </is>
      </c>
    </row>
    <row r="7" ht="31" customHeight="1">
      <c r="A7" s="36" t="inlineStr">
        <is>
          <t>Total Investment</t>
        </is>
      </c>
      <c r="B7" s="36" t="inlineStr">
        <is>
          <t xml:space="preserve"> = Initial + Implementation + Ongoing Costs</t>
        </is>
      </c>
    </row>
    <row r="8" ht="17.5" customHeight="1">
      <c r="A8" s="36" t="inlineStr">
        <is>
          <t>Alternative ROI Metrics</t>
        </is>
      </c>
    </row>
    <row r="9" ht="31" customHeight="1">
      <c r="A9" s="36" t="inlineStr"/>
      <c r="B9" s="36" t="inlineStr">
        <is>
          <t>1. Net Present Value (NPV)</t>
        </is>
      </c>
      <c r="C9" s="36" t="inlineStr">
        <is>
          <t>NPV = Σ [(Benefits - Costs) / (1 + Discount Rate)^Year]</t>
        </is>
      </c>
    </row>
    <row r="10" ht="31" customHeight="1">
      <c r="A10" s="36" t="inlineStr">
        <is>
          <t>2. Payback Period</t>
        </is>
      </c>
      <c r="B10" s="36" t="inlineStr">
        <is>
          <t>Payback Period = Initial Investment / Annual Net Cash Flow</t>
        </is>
      </c>
    </row>
    <row r="11" ht="31" customHeight="1">
      <c r="A11" s="36" t="inlineStr">
        <is>
          <t>3. Internal Rate of Return (IRR)</t>
        </is>
      </c>
      <c r="B11" s="36" t="inlineStr">
        <is>
          <t>IRR = Discount rate where NPV = 0</t>
        </is>
      </c>
    </row>
    <row r="12" ht="17.5" customHeight="1">
      <c r="A12" s="36" t="inlineStr">
        <is>
          <t>B. Cost Component Analysis</t>
        </is>
      </c>
    </row>
    <row r="13" ht="17.5" customHeight="1">
      <c r="A13" s="36" t="inlineStr">
        <is>
          <t>1. Initial Investment Costs</t>
        </is>
      </c>
    </row>
    <row r="14" ht="17.5" customHeight="1">
      <c r="A14" s="36" t="inlineStr">
        <is>
          <t>Cost Category</t>
        </is>
      </c>
      <c r="B14" s="36" t="inlineStr">
        <is>
          <t>Year 1</t>
        </is>
      </c>
      <c r="C14" s="36" t="inlineStr">
        <is>
          <t>Description</t>
        </is>
      </c>
      <c r="D14" s="36" t="inlineStr">
        <is>
          <t>Amount ($)</t>
        </is>
      </c>
    </row>
    <row r="15" ht="17.5" customHeight="1">
      <c r="A15" s="36" t="inlineStr">
        <is>
          <t>Technology Infrastructure</t>
        </is>
      </c>
    </row>
    <row r="16" ht="17.5" customHeight="1">
      <c r="A16" s="36" t="inlineStr">
        <is>
          <t>- Cloud platform setup</t>
        </is>
      </c>
      <c r="B16" s="36" t="inlineStr"/>
      <c r="C16" s="36" t="inlineStr">
        <is>
          <t>Initial cloud services setup</t>
        </is>
      </c>
    </row>
    <row r="17" ht="17.5" customHeight="1">
      <c r="A17" s="36" t="inlineStr">
        <is>
          <t>- Hardware/servers</t>
        </is>
      </c>
      <c r="B17" s="36" t="inlineStr"/>
      <c r="C17" s="36" t="inlineStr">
        <is>
          <t>Additional computing resources</t>
        </is>
      </c>
    </row>
    <row r="18" ht="17.5" customHeight="1">
      <c r="A18" s="36" t="inlineStr">
        <is>
          <t>- Software licensing</t>
        </is>
      </c>
      <c r="B18" s="36" t="inlineStr"/>
      <c r="C18" s="36" t="inlineStr">
        <is>
          <t>AI platform licenses</t>
        </is>
      </c>
    </row>
    <row r="19" ht="17.5" customHeight="1">
      <c r="A19" s="36" t="inlineStr">
        <is>
          <t>Implementation Services</t>
        </is>
      </c>
    </row>
    <row r="20" ht="17.5" customHeight="1">
      <c r="A20" s="36" t="inlineStr">
        <is>
          <t>- Consulting fees</t>
        </is>
      </c>
      <c r="B20" s="36" t="inlineStr"/>
      <c r="C20" s="36" t="inlineStr">
        <is>
          <t>External implementation support</t>
        </is>
      </c>
    </row>
    <row r="21" ht="31" customHeight="1">
      <c r="A21" s="36" t="inlineStr">
        <is>
          <t>- System integration</t>
        </is>
      </c>
      <c r="B21" s="36" t="inlineStr"/>
      <c r="C21" s="36" t="inlineStr">
        <is>
          <t>Integration with existing systems</t>
        </is>
      </c>
    </row>
    <row r="22" ht="17.5" customHeight="1">
      <c r="A22" s="36" t="inlineStr">
        <is>
          <t>- Data migration</t>
        </is>
      </c>
      <c r="B22" s="36" t="inlineStr"/>
      <c r="C22" s="36" t="inlineStr">
        <is>
          <t>Moving/preparing data</t>
        </is>
      </c>
    </row>
    <row r="23" ht="17.5" customHeight="1">
      <c r="A23" s="36" t="inlineStr">
        <is>
          <t>Internal Resources</t>
        </is>
      </c>
    </row>
    <row r="24" ht="17.5" customHeight="1">
      <c r="A24" s="36" t="inlineStr">
        <is>
          <t>- Project management</t>
        </is>
      </c>
      <c r="B24" s="36" t="inlineStr"/>
      <c r="C24" s="36" t="inlineStr">
        <is>
          <t>Internal PM costs</t>
        </is>
      </c>
    </row>
    <row r="25" ht="17.5" customHeight="1">
      <c r="A25" s="36" t="inlineStr">
        <is>
          <t>- Technical team time</t>
        </is>
      </c>
      <c r="B25" s="36" t="inlineStr"/>
      <c r="C25" s="36" t="inlineStr">
        <is>
          <t>Development resources</t>
        </is>
      </c>
    </row>
    <row r="26" ht="17.5" customHeight="1">
      <c r="A26" s="36" t="inlineStr">
        <is>
          <t>- Business analyst time</t>
        </is>
      </c>
      <c r="B26" s="36" t="inlineStr"/>
      <c r="C26" s="36" t="inlineStr">
        <is>
          <t>Requirements gathering</t>
        </is>
      </c>
    </row>
    <row r="27" ht="17.5" customHeight="1">
      <c r="A27" s="36" t="inlineStr">
        <is>
          <t>Training &amp; Development</t>
        </is>
      </c>
    </row>
    <row r="28" ht="17.5" customHeight="1">
      <c r="A28" s="36" t="inlineStr">
        <is>
          <t>- Employee training</t>
        </is>
      </c>
      <c r="B28" s="36" t="inlineStr"/>
      <c r="C28" s="36" t="inlineStr">
        <is>
          <t>Skills development programs</t>
        </is>
      </c>
    </row>
    <row r="29" ht="17.5" customHeight="1">
      <c r="A29" s="36" t="inlineStr">
        <is>
          <t>- Certification programs</t>
        </is>
      </c>
      <c r="B29" s="36" t="inlineStr"/>
      <c r="C29" s="36" t="inlineStr">
        <is>
          <t>Technical certifications</t>
        </is>
      </c>
    </row>
    <row r="30" ht="17.5" customHeight="1">
      <c r="A30" s="36" t="inlineStr">
        <is>
          <t>- Change management</t>
        </is>
      </c>
      <c r="B30" s="36" t="inlineStr"/>
      <c r="C30" s="36" t="inlineStr">
        <is>
          <t>Organizational change support</t>
        </is>
      </c>
    </row>
    <row r="31" ht="17.5" customHeight="1">
      <c r="A31" s="36" t="inlineStr">
        <is>
          <t>Total Initial Investment:</t>
        </is>
      </c>
      <c r="B31" s="36" t="inlineStr">
        <is>
          <t xml:space="preserve"> $</t>
        </is>
      </c>
    </row>
    <row r="32" ht="17.5" customHeight="1">
      <c r="A32" s="36" t="inlineStr">
        <is>
          <t>2. Ongoing Operational Costs (Annual)</t>
        </is>
      </c>
    </row>
    <row r="33" ht="17.5" customHeight="1">
      <c r="A33" s="36" t="inlineStr">
        <is>
          <t>Cost Category</t>
        </is>
      </c>
      <c r="B33" s="36" t="inlineStr">
        <is>
          <t>Annual Amount</t>
        </is>
      </c>
      <c r="C33" s="36" t="inlineStr">
        <is>
          <t>Notes</t>
        </is>
      </c>
    </row>
    <row r="34" ht="17.5" customHeight="1">
      <c r="A34" s="36" t="inlineStr">
        <is>
          <t>Technology Costs</t>
        </is>
      </c>
    </row>
    <row r="35" ht="17.5" customHeight="1">
      <c r="A35" s="36" t="inlineStr">
        <is>
          <t>- Cloud services</t>
        </is>
      </c>
      <c r="B35" s="36" t="inlineStr"/>
      <c r="C35" s="36" t="inlineStr">
        <is>
          <t>Monthly/annual subscriptions</t>
        </is>
      </c>
    </row>
    <row r="36" ht="17.5" customHeight="1">
      <c r="A36" s="36" t="inlineStr">
        <is>
          <t>- Software licenses</t>
        </is>
      </c>
      <c r="B36" s="36" t="inlineStr"/>
      <c r="C36" s="36" t="inlineStr">
        <is>
          <t>Recurring license fees</t>
        </is>
      </c>
    </row>
    <row r="37" ht="17.5" customHeight="1">
      <c r="A37" s="36" t="inlineStr">
        <is>
          <t>- Data storage</t>
        </is>
      </c>
      <c r="B37" s="36" t="inlineStr"/>
      <c r="C37" s="36" t="inlineStr">
        <is>
          <t>Storage and processing costs</t>
        </is>
      </c>
    </row>
    <row r="38" ht="17.5" customHeight="1">
      <c r="A38" s="36" t="inlineStr">
        <is>
          <t>- Security &amp; compliance</t>
        </is>
      </c>
      <c r="B38" s="36" t="inlineStr"/>
      <c r="C38" s="36" t="inlineStr">
        <is>
          <t>Additional security measures</t>
        </is>
      </c>
    </row>
    <row r="39" ht="17.5" customHeight="1">
      <c r="A39" s="36" t="inlineStr">
        <is>
          <t>Personnel Costs</t>
        </is>
      </c>
    </row>
    <row r="40" ht="17.5" customHeight="1">
      <c r="A40" s="36" t="inlineStr">
        <is>
          <t>- AI specialists</t>
        </is>
      </c>
      <c r="B40" s="36" t="inlineStr"/>
      <c r="C40" s="36" t="inlineStr">
        <is>
          <t>Salary + benefits</t>
        </is>
      </c>
    </row>
    <row r="41" ht="17.5" customHeight="1">
      <c r="A41" s="36" t="inlineStr">
        <is>
          <t>- Data scientists</t>
        </is>
      </c>
      <c r="B41" s="36" t="inlineStr"/>
      <c r="C41" s="36" t="inlineStr">
        <is>
          <t>Salary + benefits</t>
        </is>
      </c>
    </row>
    <row r="42" ht="17.5" customHeight="1">
      <c r="A42" s="36" t="inlineStr">
        <is>
          <t>- System administrators</t>
        </is>
      </c>
      <c r="B42" s="36" t="inlineStr"/>
      <c r="C42" s="36" t="inlineStr">
        <is>
          <t>Maintenance personnel</t>
        </is>
      </c>
    </row>
    <row r="43" ht="17.5" customHeight="1">
      <c r="A43" s="36" t="inlineStr">
        <is>
          <t>Maintenance &amp; Support</t>
        </is>
      </c>
    </row>
    <row r="44" ht="17.5" customHeight="1">
      <c r="A44" s="36" t="inlineStr">
        <is>
          <t>- Vendor support</t>
        </is>
      </c>
      <c r="B44" s="36" t="inlineStr"/>
      <c r="C44" s="36" t="inlineStr">
        <is>
          <t>Technical support contracts</t>
        </is>
      </c>
    </row>
    <row r="45" ht="17.5" customHeight="1">
      <c r="A45" s="36" t="inlineStr">
        <is>
          <t>- System maintenance</t>
        </is>
      </c>
      <c r="B45" s="36" t="inlineStr"/>
      <c r="C45" s="36" t="inlineStr">
        <is>
          <t>Regular updates/patches</t>
        </is>
      </c>
    </row>
    <row r="46" ht="17.5" customHeight="1">
      <c r="A46" s="36" t="inlineStr">
        <is>
          <t>- Performance optimization</t>
        </is>
      </c>
      <c r="B46" s="36" t="inlineStr"/>
      <c r="C46" s="36" t="inlineStr">
        <is>
          <t>Ongoing tuning</t>
        </is>
      </c>
    </row>
    <row r="47" ht="17.5" customHeight="1">
      <c r="A47" s="36" t="inlineStr">
        <is>
          <t>Training &amp; Development</t>
        </is>
      </c>
    </row>
    <row r="48" ht="17.5" customHeight="1">
      <c r="A48" s="36" t="inlineStr">
        <is>
          <t>- Continuous learning</t>
        </is>
      </c>
      <c r="B48" s="36" t="inlineStr"/>
      <c r="C48" s="36" t="inlineStr">
        <is>
          <t>Ongoing skill development</t>
        </is>
      </c>
    </row>
    <row r="49" ht="17.5" customHeight="1">
      <c r="A49" s="36" t="inlineStr">
        <is>
          <t>- New employee onboarding</t>
        </is>
      </c>
      <c r="B49" s="36" t="inlineStr"/>
      <c r="C49" s="36" t="inlineStr">
        <is>
          <t>Training new hires</t>
        </is>
      </c>
    </row>
    <row r="50" ht="17.5" customHeight="1">
      <c r="A50" s="36" t="inlineStr">
        <is>
          <t>Total Annual Operational Costs:</t>
        </is>
      </c>
      <c r="B50" s="36" t="inlineStr">
        <is>
          <t xml:space="preserve"> $</t>
        </is>
      </c>
    </row>
    <row r="51" ht="17.5" customHeight="1">
      <c r="A51" s="36" t="inlineStr">
        <is>
          <t>C. Benefit Quantification Framework</t>
        </is>
      </c>
    </row>
    <row r="52" ht="17.5" customHeight="1">
      <c r="A52" s="36" t="inlineStr">
        <is>
          <t>1. Direct Financial Benefits</t>
        </is>
      </c>
    </row>
    <row r="53" ht="17.5" customHeight="1">
      <c r="A53" s="36" t="inlineStr">
        <is>
          <t>Revenue Enhancement</t>
        </is>
      </c>
    </row>
    <row r="54" ht="17.5" customHeight="1">
      <c r="A54" s="36" t="inlineStr">
        <is>
          <t>Benefit Type</t>
        </is>
      </c>
      <c r="B54" s="36" t="inlineStr">
        <is>
          <t>Calculation Method</t>
        </is>
      </c>
      <c r="C54" s="36" t="inlineStr">
        <is>
          <t>Baseline</t>
        </is>
      </c>
      <c r="D54" s="36" t="inlineStr">
        <is>
          <t>With GenAI</t>
        </is>
      </c>
      <c r="E54" s="36" t="inlineStr">
        <is>
          <t>Annual Impact</t>
        </is>
      </c>
    </row>
    <row r="55" ht="17.5" customHeight="1">
      <c r="A55" s="36" t="inlineStr">
        <is>
          <t>Sales Increase</t>
        </is>
      </c>
    </row>
    <row r="56" ht="31" customHeight="1">
      <c r="A56" s="36" t="inlineStr">
        <is>
          <t>- Lead conversion rate</t>
        </is>
      </c>
      <c r="B56" s="36" t="inlineStr">
        <is>
          <t>(New Rate - Old Rate) × Lead Volume × Avg Deal Size</t>
        </is>
      </c>
      <c r="C56" s="36" t="inlineStr">
        <is>
          <t>%</t>
        </is>
      </c>
      <c r="D56" s="36" t="inlineStr">
        <is>
          <t>%</t>
        </is>
      </c>
      <c r="E56" s="36" t="inlineStr">
        <is>
          <t>$</t>
        </is>
      </c>
    </row>
    <row r="57" ht="31" customHeight="1">
      <c r="A57" s="36" t="inlineStr">
        <is>
          <t>- Customer acquisition</t>
        </is>
      </c>
      <c r="B57" s="36" t="inlineStr">
        <is>
          <t>New Customers × Average Customer Value</t>
        </is>
      </c>
      <c r="C57" s="36" t="inlineStr"/>
      <c r="D57" s="36" t="inlineStr"/>
      <c r="E57" s="36" t="inlineStr">
        <is>
          <t>$</t>
        </is>
      </c>
    </row>
    <row r="58" ht="31" customHeight="1">
      <c r="A58" s="36" t="inlineStr">
        <is>
          <t>- Upselling/Cross-selling</t>
        </is>
      </c>
      <c r="B58" s="36" t="inlineStr">
        <is>
          <t>Additional Revenue per Customer × Customer Base</t>
        </is>
      </c>
      <c r="C58" s="36" t="inlineStr">
        <is>
          <t>$</t>
        </is>
      </c>
      <c r="D58" s="36" t="inlineStr">
        <is>
          <t>$</t>
        </is>
      </c>
      <c r="E58" s="36" t="inlineStr">
        <is>
          <t>$</t>
        </is>
      </c>
    </row>
    <row r="59" ht="17.5" customHeight="1">
      <c r="A59" s="36" t="inlineStr">
        <is>
          <t>Pricing Optimization</t>
        </is>
      </c>
    </row>
    <row r="60" ht="17.5" customHeight="1">
      <c r="A60" s="36" t="inlineStr">
        <is>
          <t>- Dynamic pricing gains</t>
        </is>
      </c>
      <c r="B60" s="36" t="inlineStr">
        <is>
          <t>Price Increase % × Revenue Base</t>
        </is>
      </c>
      <c r="C60" s="36" t="inlineStr">
        <is>
          <t>%</t>
        </is>
      </c>
      <c r="D60" s="36" t="inlineStr">
        <is>
          <t>%</t>
        </is>
      </c>
      <c r="E60" s="36" t="inlineStr">
        <is>
          <t>$</t>
        </is>
      </c>
    </row>
    <row r="61" ht="31" customHeight="1">
      <c r="A61" s="36" t="inlineStr">
        <is>
          <t>- Demand forecasting</t>
        </is>
      </c>
      <c r="B61" s="36" t="inlineStr">
        <is>
          <t>Reduced stockout/overstock × Margin</t>
        </is>
      </c>
      <c r="C61" s="36" t="inlineStr">
        <is>
          <t>$</t>
        </is>
      </c>
      <c r="D61" s="36" t="inlineStr">
        <is>
          <t>$</t>
        </is>
      </c>
      <c r="E61" s="36" t="inlineStr">
        <is>
          <t>$_</t>
        </is>
      </c>
    </row>
    <row r="62" ht="17.5" customHeight="1">
      <c r="A62" s="36" t="inlineStr">
        <is>
          <t>Total Annual Revenue Benefits:</t>
        </is>
      </c>
      <c r="B62" s="36" t="inlineStr">
        <is>
          <t xml:space="preserve"> $</t>
        </is>
      </c>
    </row>
    <row r="63" ht="17.5" customHeight="1">
      <c r="A63" s="36" t="inlineStr">
        <is>
          <t>__</t>
        </is>
      </c>
    </row>
    <row r="64" ht="17.5" customHeight="1">
      <c r="A64" s="36" t="inlineStr">
        <is>
          <t>Cost Reduction</t>
        </is>
      </c>
    </row>
    <row r="65" ht="17.5" customHeight="1">
      <c r="A65" s="36" t="inlineStr">
        <is>
          <t>Benefit Type</t>
        </is>
      </c>
      <c r="B65" s="36" t="inlineStr">
        <is>
          <t>Calculation Method</t>
        </is>
      </c>
      <c r="C65" s="36" t="inlineStr">
        <is>
          <t>Baseline Cost</t>
        </is>
      </c>
      <c r="D65" s="36" t="inlineStr">
        <is>
          <t>With GenAI</t>
        </is>
      </c>
      <c r="E65" s="36" t="inlineStr">
        <is>
          <t>Annual Savings</t>
        </is>
      </c>
    </row>
    <row r="66" ht="17.5" customHeight="1">
      <c r="A66" s="36" t="inlineStr">
        <is>
          <t>Operational Efficiency</t>
        </is>
      </c>
    </row>
    <row r="67" ht="31" customHeight="1">
      <c r="A67" s="36" t="inlineStr">
        <is>
          <t>- Process automation</t>
        </is>
      </c>
      <c r="B67" s="36" t="inlineStr">
        <is>
          <t>Hours Saved × Hourly Rate × 2080 hours</t>
        </is>
      </c>
      <c r="C67" s="36" t="inlineStr">
        <is>
          <t>$</t>
        </is>
      </c>
      <c r="D67" s="36" t="inlineStr">
        <is>
          <t>$</t>
        </is>
      </c>
      <c r="E67" s="36" t="inlineStr">
        <is>
          <t>$</t>
        </is>
      </c>
    </row>
    <row r="68" ht="17.5" customHeight="1">
      <c r="A68" s="36" t="inlineStr">
        <is>
          <t>- Error reduction</t>
        </is>
      </c>
      <c r="B68" s="36" t="inlineStr">
        <is>
          <t>Error Cost × Error Reduction %</t>
        </is>
      </c>
      <c r="C68" s="36" t="inlineStr">
        <is>
          <t>$</t>
        </is>
      </c>
      <c r="D68" s="36" t="inlineStr">
        <is>
          <t>$</t>
        </is>
      </c>
      <c r="E68" s="36" t="inlineStr">
        <is>
          <t>$</t>
        </is>
      </c>
    </row>
    <row r="69" ht="31" customHeight="1">
      <c r="A69" s="36" t="inlineStr">
        <is>
          <t>- Quality improvements</t>
        </is>
      </c>
      <c r="B69" s="36" t="inlineStr">
        <is>
          <t>Defect Cost × Defect Reduction %</t>
        </is>
      </c>
      <c r="C69" s="36" t="inlineStr">
        <is>
          <t>$</t>
        </is>
      </c>
      <c r="D69" s="36" t="inlineStr">
        <is>
          <t>$</t>
        </is>
      </c>
      <c r="E69" s="36" t="inlineStr">
        <is>
          <t>$</t>
        </is>
      </c>
    </row>
    <row r="70" ht="17.5" customHeight="1">
      <c r="A70" s="36" t="inlineStr">
        <is>
          <t>Labor Productivity</t>
        </is>
      </c>
    </row>
    <row r="71" ht="17.5" customHeight="1">
      <c r="A71" s="36" t="inlineStr">
        <is>
          <t>- Task automation</t>
        </is>
      </c>
      <c r="B71" s="36" t="inlineStr">
        <is>
          <t>FTE Reduction × Average Salary</t>
        </is>
      </c>
      <c r="C71" s="36" t="inlineStr">
        <is>
          <t>FTE</t>
        </is>
      </c>
      <c r="D71" s="36" t="inlineStr">
        <is>
          <t>FTE</t>
        </is>
      </c>
      <c r="E71" s="36" t="inlineStr">
        <is>
          <t>$</t>
        </is>
      </c>
    </row>
    <row r="72" ht="31" customHeight="1">
      <c r="A72" s="36" t="inlineStr">
        <is>
          <t>- Decision speed</t>
        </is>
      </c>
      <c r="B72" s="36" t="inlineStr">
        <is>
          <t>Decision Time × Hourly Rate × Decisions/Year</t>
        </is>
      </c>
      <c r="C72" s="36" t="inlineStr">
        <is>
          <t>$</t>
        </is>
      </c>
      <c r="D72" s="36" t="inlineStr">
        <is>
          <t>$</t>
        </is>
      </c>
      <c r="E72" s="36" t="inlineStr">
        <is>
          <t>$</t>
        </is>
      </c>
    </row>
    <row r="73" ht="31" customHeight="1">
      <c r="A73" s="36" t="inlineStr">
        <is>
          <t>- Content creation</t>
        </is>
      </c>
      <c r="B73" s="36" t="inlineStr">
        <is>
          <t>Creation Time × Hourly Rate × Volume</t>
        </is>
      </c>
      <c r="C73" s="36" t="inlineStr">
        <is>
          <t>$</t>
        </is>
      </c>
      <c r="D73" s="36" t="inlineStr">
        <is>
          <t>$</t>
        </is>
      </c>
      <c r="E73" s="36" t="inlineStr">
        <is>
          <t>$</t>
        </is>
      </c>
    </row>
    <row r="74" ht="17.5" customHeight="1">
      <c r="A74" s="36" t="inlineStr">
        <is>
          <t>Customer Service</t>
        </is>
      </c>
    </row>
    <row r="75" ht="31" customHeight="1">
      <c r="A75" s="36" t="inlineStr">
        <is>
          <t>- Support automation</t>
        </is>
      </c>
      <c r="B75" s="36" t="inlineStr">
        <is>
          <t>Support Tickets × Cost per Ticket</t>
        </is>
      </c>
      <c r="C75" s="36" t="inlineStr">
        <is>
          <t>$</t>
        </is>
      </c>
      <c r="D75" s="36" t="inlineStr">
        <is>
          <t>$</t>
        </is>
      </c>
      <c r="E75" s="36" t="inlineStr">
        <is>
          <t>$</t>
        </is>
      </c>
    </row>
    <row r="76" ht="31" customHeight="1">
      <c r="A76" s="36" t="inlineStr">
        <is>
          <t>- Resolution time</t>
        </is>
      </c>
      <c r="B76" s="36" t="inlineStr">
        <is>
          <t>Time Reduction × Agent Cost × Ticket Volume</t>
        </is>
      </c>
      <c r="C76" s="36" t="inlineStr">
        <is>
          <t>$</t>
        </is>
      </c>
      <c r="D76" s="36" t="inlineStr">
        <is>
          <t>$</t>
        </is>
      </c>
      <c r="E76" s="36" t="inlineStr">
        <is>
          <t>$</t>
        </is>
      </c>
    </row>
    <row r="77" ht="17.5" customHeight="1">
      <c r="A77" s="36" t="inlineStr">
        <is>
          <t>Total Annual Cost Savings:</t>
        </is>
      </c>
      <c r="B77" s="36" t="inlineStr">
        <is>
          <t xml:space="preserve"> $</t>
        </is>
      </c>
    </row>
    <row r="78" ht="17.5" customHeight="1">
      <c r="A78" s="36" t="inlineStr">
        <is>
          <t>2. Productivity Improvements</t>
        </is>
      </c>
    </row>
    <row r="79" ht="17.5" customHeight="1">
      <c r="A79" s="36" t="inlineStr">
        <is>
          <t>Metric</t>
        </is>
      </c>
      <c r="B79" s="36" t="inlineStr">
        <is>
          <t>Baseline</t>
        </is>
      </c>
      <c r="C79" s="36" t="inlineStr">
        <is>
          <t>With GenAI</t>
        </is>
      </c>
      <c r="D79" s="36" t="inlineStr">
        <is>
          <t>Improvement</t>
        </is>
      </c>
      <c r="E79" s="36" t="inlineStr">
        <is>
          <t>Value ($)</t>
        </is>
      </c>
    </row>
    <row r="80" ht="17.5" customHeight="1">
      <c r="A80" s="36" t="inlineStr">
        <is>
          <t>Employee Productivity</t>
        </is>
      </c>
    </row>
    <row r="81" ht="17.5" customHeight="1">
      <c r="A81" s="36" t="inlineStr">
        <is>
          <t>- Tasks completed per hour</t>
        </is>
      </c>
      <c r="B81" s="36" t="inlineStr"/>
      <c r="C81" s="36" t="inlineStr"/>
      <c r="D81" s="36" t="inlineStr">
        <is>
          <t>%</t>
        </is>
      </c>
      <c r="E81" s="36" t="inlineStr">
        <is>
          <t>$</t>
        </is>
      </c>
    </row>
    <row r="82" ht="17.5" customHeight="1">
      <c r="A82" s="36" t="inlineStr">
        <is>
          <t>- Time to complete projects</t>
        </is>
      </c>
      <c r="B82" s="36" t="inlineStr"/>
      <c r="C82" s="36" t="inlineStr"/>
      <c r="D82" s="36" t="inlineStr">
        <is>
          <t>% reduction</t>
        </is>
      </c>
      <c r="E82" s="36" t="inlineStr">
        <is>
          <t>$</t>
        </is>
      </c>
    </row>
    <row r="83" ht="17.5" customHeight="1">
      <c r="A83" s="36" t="inlineStr">
        <is>
          <t>- Output quality scores</t>
        </is>
      </c>
      <c r="B83" s="36" t="inlineStr"/>
      <c r="C83" s="36" t="inlineStr"/>
      <c r="D83" s="36" t="inlineStr">
        <is>
          <t>% improvement</t>
        </is>
      </c>
      <c r="E83" s="36" t="inlineStr">
        <is>
          <t>$</t>
        </is>
      </c>
    </row>
    <row r="84" ht="17.5" customHeight="1">
      <c r="A84" s="36" t="inlineStr">
        <is>
          <t>Process Efficiency</t>
        </is>
      </c>
    </row>
    <row r="85" ht="17.5" customHeight="1">
      <c r="A85" s="36" t="inlineStr">
        <is>
          <t>- Cycle time reduction</t>
        </is>
      </c>
      <c r="B85" s="36" t="inlineStr"/>
      <c r="C85" s="36" t="inlineStr"/>
      <c r="D85" s="36" t="inlineStr">
        <is>
          <t>% faster</t>
        </is>
      </c>
      <c r="E85" s="36" t="inlineStr">
        <is>
          <t>$</t>
        </is>
      </c>
    </row>
    <row r="86" ht="17.5" customHeight="1">
      <c r="A86" s="36" t="inlineStr">
        <is>
          <t>- Throughput increase</t>
        </is>
      </c>
      <c r="B86" s="36" t="inlineStr"/>
      <c r="C86" s="36" t="inlineStr"/>
      <c r="D86" s="36" t="inlineStr">
        <is>
          <t>% more</t>
        </is>
      </c>
      <c r="E86" s="36" t="inlineStr">
        <is>
          <t>$</t>
        </is>
      </c>
    </row>
    <row r="87" ht="17.5" customHeight="1">
      <c r="A87" s="36" t="inlineStr">
        <is>
          <t>- Accuracy improvement</t>
        </is>
      </c>
      <c r="B87" s="36" t="inlineStr"/>
      <c r="C87" s="36" t="inlineStr"/>
      <c r="D87" s="36" t="inlineStr">
        <is>
          <t>% fewer errors</t>
        </is>
      </c>
      <c r="E87" s="36" t="inlineStr">
        <is>
          <t>$</t>
        </is>
      </c>
    </row>
    <row r="88" ht="17.5" customHeight="1">
      <c r="A88" s="36" t="inlineStr">
        <is>
          <t>Total Productivity Value:</t>
        </is>
      </c>
      <c r="B88" s="36" t="inlineStr">
        <is>
          <t xml:space="preserve"> $</t>
        </is>
      </c>
    </row>
    <row r="89" ht="17.5" customHeight="1">
      <c r="A89" s="36" t="inlineStr">
        <is>
          <t>D. Qualitative Benefits Assessment</t>
        </is>
      </c>
    </row>
    <row r="90" ht="17.5" customHeight="1">
      <c r="A90" s="36" t="inlineStr">
        <is>
          <t>1. Strategic Value Scoring</t>
        </is>
      </c>
    </row>
    <row r="91" ht="31" customHeight="1">
      <c r="A91" s="36" t="inlineStr">
        <is>
          <t>Rate each factor from 1 (No impact) to 5 (Significant impact)</t>
        </is>
      </c>
    </row>
    <row r="92" ht="17.5" customHeight="1">
      <c r="A92" s="36" t="inlineStr">
        <is>
          <t>Strategic Factor</t>
        </is>
      </c>
      <c r="B92" s="36" t="inlineStr">
        <is>
          <t>Score</t>
        </is>
      </c>
      <c r="C92" s="36" t="inlineStr">
        <is>
          <t>Weight</t>
        </is>
      </c>
      <c r="D92" s="36" t="inlineStr">
        <is>
          <t>Weighted Score</t>
        </is>
      </c>
    </row>
    <row r="93" ht="17.5" customHeight="1">
      <c r="A93" s="36" t="inlineStr">
        <is>
          <t>Competitive advantage</t>
        </is>
      </c>
      <c r="B93" s="36" t="inlineStr"/>
      <c r="C93" s="36" t="inlineStr">
        <is>
          <t>20%</t>
        </is>
      </c>
    </row>
    <row r="94" ht="17.5" customHeight="1">
      <c r="A94" s="36" t="inlineStr">
        <is>
          <t>Innovation capability</t>
        </is>
      </c>
      <c r="B94" s="36" t="inlineStr"/>
      <c r="C94" s="36" t="inlineStr">
        <is>
          <t>15%</t>
        </is>
      </c>
    </row>
    <row r="95" ht="17.5" customHeight="1">
      <c r="A95" s="36" t="inlineStr">
        <is>
          <t>Market responsiveness</t>
        </is>
      </c>
      <c r="B95" s="36" t="inlineStr"/>
      <c r="C95" s="36" t="inlineStr">
        <is>
          <t>15%</t>
        </is>
      </c>
    </row>
    <row r="96" ht="17.5" customHeight="1">
      <c r="A96" s="36" t="inlineStr">
        <is>
          <t>Brand differentiation</t>
        </is>
      </c>
      <c r="B96" s="36" t="inlineStr"/>
      <c r="C96" s="36" t="inlineStr">
        <is>
          <t>10%</t>
        </is>
      </c>
    </row>
    <row r="97" ht="17.5" customHeight="1">
      <c r="A97" s="36" t="inlineStr">
        <is>
          <t>Customer satisfaction</t>
        </is>
      </c>
      <c r="B97" s="36" t="inlineStr"/>
      <c r="C97" s="36" t="inlineStr">
        <is>
          <t>15%</t>
        </is>
      </c>
    </row>
    <row r="98" ht="17.5" customHeight="1">
      <c r="A98" s="36" t="inlineStr">
        <is>
          <t>Employee satisfaction</t>
        </is>
      </c>
      <c r="B98" s="36" t="inlineStr"/>
      <c r="C98" s="36" t="inlineStr">
        <is>
          <t>10%</t>
        </is>
      </c>
    </row>
    <row r="99" ht="17.5" customHeight="1">
      <c r="A99" s="36" t="inlineStr">
        <is>
          <t>Regulatory compliance</t>
        </is>
      </c>
      <c r="B99" s="36" t="inlineStr"/>
      <c r="C99" s="36" t="inlineStr">
        <is>
          <t>10%</t>
        </is>
      </c>
    </row>
    <row r="100" ht="17.5" customHeight="1">
      <c r="A100" s="36" t="inlineStr">
        <is>
          <t>Scalability potential</t>
        </is>
      </c>
      <c r="B100" s="36" t="inlineStr"/>
      <c r="C100" s="36" t="inlineStr">
        <is>
          <t>5%</t>
        </is>
      </c>
    </row>
    <row r="101" ht="17.5" customHeight="1">
      <c r="A101" s="36" t="inlineStr">
        <is>
          <t>Total Strategic Value Score:</t>
        </is>
      </c>
      <c r="B101" s="36" t="inlineStr">
        <is>
          <t xml:space="preserve"> ___/5.0</t>
        </is>
      </c>
    </row>
    <row r="102" ht="17.5" customHeight="1">
      <c r="A102" s="36" t="inlineStr">
        <is>
          <t>2. Risk Mitigation Value</t>
        </is>
      </c>
    </row>
    <row r="103" ht="17.5" customHeight="1">
      <c r="A103" s="36" t="inlineStr">
        <is>
          <t>Risk Category</t>
        </is>
      </c>
      <c r="B103" s="36" t="inlineStr">
        <is>
          <t>Baseline Risk Cost</t>
        </is>
      </c>
      <c r="C103" s="36" t="inlineStr">
        <is>
          <t>Risk Reduction %</t>
        </is>
      </c>
      <c r="D103" s="36" t="inlineStr">
        <is>
          <t>Value Created</t>
        </is>
      </c>
    </row>
    <row r="104" ht="17.5" customHeight="1">
      <c r="A104" s="36" t="inlineStr">
        <is>
          <t>Operational risks</t>
        </is>
      </c>
      <c r="B104" s="36" t="inlineStr">
        <is>
          <t>$</t>
        </is>
      </c>
      <c r="C104" s="36" t="inlineStr">
        <is>
          <t>%</t>
        </is>
      </c>
      <c r="D104" s="36" t="inlineStr">
        <is>
          <t>$</t>
        </is>
      </c>
    </row>
    <row r="105" ht="17.5" customHeight="1">
      <c r="A105" s="36" t="inlineStr">
        <is>
          <t>Compliance risks</t>
        </is>
      </c>
      <c r="B105" s="36" t="inlineStr">
        <is>
          <t>$</t>
        </is>
      </c>
      <c r="C105" s="36" t="inlineStr">
        <is>
          <t>%</t>
        </is>
      </c>
      <c r="D105" s="36" t="inlineStr">
        <is>
          <t>$</t>
        </is>
      </c>
    </row>
    <row r="106" ht="17.5" customHeight="1">
      <c r="A106" s="36" t="inlineStr">
        <is>
          <t>Quality risks</t>
        </is>
      </c>
      <c r="B106" s="36" t="inlineStr">
        <is>
          <t>$</t>
        </is>
      </c>
      <c r="C106" s="36" t="inlineStr">
        <is>
          <t>%</t>
        </is>
      </c>
      <c r="D106" s="36" t="inlineStr">
        <is>
          <t>$</t>
        </is>
      </c>
    </row>
    <row r="107" ht="17.5" customHeight="1">
      <c r="A107" s="36" t="inlineStr">
        <is>
          <t>Competitive risks</t>
        </is>
      </c>
      <c r="B107" s="36" t="inlineStr">
        <is>
          <t>$</t>
        </is>
      </c>
      <c r="C107" s="36" t="inlineStr">
        <is>
          <t>%</t>
        </is>
      </c>
      <c r="D107" s="36" t="inlineStr">
        <is>
          <t>$</t>
        </is>
      </c>
    </row>
    <row r="108" ht="17.5" customHeight="1">
      <c r="A108" s="36" t="inlineStr">
        <is>
          <t>Total Risk Mitigation Value:</t>
        </is>
      </c>
      <c r="B108" s="36" t="inlineStr">
        <is>
          <t xml:space="preserve"> $</t>
        </is>
      </c>
    </row>
    <row r="109" ht="17.5" customHeight="1">
      <c r="A109" s="36" t="inlineStr">
        <is>
          <t>__</t>
        </is>
      </c>
    </row>
    <row r="110" ht="17.5" customHeight="1">
      <c r="A110" s="36" t="inlineStr">
        <is>
          <t>E. Comprehensive ROI Calculation</t>
        </is>
      </c>
    </row>
    <row r="111" ht="17.5" customHeight="1">
      <c r="A111" s="36" t="inlineStr">
        <is>
          <t>1. Three-Year ROI Analysis</t>
        </is>
      </c>
    </row>
    <row r="112" ht="17.5" customHeight="1">
      <c r="A112" s="36" t="inlineStr">
        <is>
          <t>Year</t>
        </is>
      </c>
      <c r="B112" s="36" t="inlineStr">
        <is>
          <t>Benefits ($)</t>
        </is>
      </c>
      <c r="C112" s="36" t="inlineStr">
        <is>
          <t>Costs ($)</t>
        </is>
      </c>
      <c r="D112" s="36" t="inlineStr">
        <is>
          <t>Net Benefit ($)</t>
        </is>
      </c>
      <c r="E112" s="36" t="inlineStr">
        <is>
          <t>Cumulative ROI (%)</t>
        </is>
      </c>
    </row>
    <row r="113" ht="17.5" customHeight="1">
      <c r="A113" s="36" t="inlineStr">
        <is>
          <t>Year 1</t>
        </is>
      </c>
    </row>
    <row r="114" ht="17.5" customHeight="1">
      <c r="A114" s="36" t="inlineStr">
        <is>
          <t>Year 2</t>
        </is>
      </c>
    </row>
    <row r="115" ht="17.5" customHeight="1">
      <c r="A115" s="36" t="inlineStr">
        <is>
          <t>Year 3</t>
        </is>
      </c>
    </row>
    <row r="116" ht="17.5" customHeight="1">
      <c r="A116" s="36" t="inlineStr">
        <is>
          <t>Total</t>
        </is>
      </c>
    </row>
    <row r="117" ht="17.5" customHeight="1">
      <c r="A117" s="36" t="inlineStr">
        <is>
          <t>2. ROI Sensitivity Analysis</t>
        </is>
      </c>
    </row>
    <row r="118" ht="17.5" customHeight="1">
      <c r="A118" s="36" t="inlineStr">
        <is>
          <t>Test ROI under different scenarios</t>
        </is>
      </c>
    </row>
    <row r="119" ht="17.5" customHeight="1">
      <c r="A119" s="36" t="inlineStr">
        <is>
          <t>Scenario</t>
        </is>
      </c>
      <c r="B119" s="36" t="inlineStr">
        <is>
          <t>Benefits Change</t>
        </is>
      </c>
      <c r="C119" s="36" t="inlineStr">
        <is>
          <t>Costs Change</t>
        </is>
      </c>
      <c r="D119" s="36" t="inlineStr">
        <is>
          <t>Adjusted ROI (%)</t>
        </is>
      </c>
    </row>
    <row r="120" ht="17.5" customHeight="1">
      <c r="A120" s="36" t="inlineStr">
        <is>
          <t>Conservative (Benefits -20%, Costs +10%)</t>
        </is>
      </c>
    </row>
    <row r="121" ht="17.5" customHeight="1">
      <c r="A121" s="36" t="inlineStr">
        <is>
          <t>Optimistic (Benefits +30%, Costs -10%)</t>
        </is>
      </c>
    </row>
    <row r="122" ht="17.5" customHeight="1">
      <c r="A122" s="36" t="inlineStr">
        <is>
          <t>Most Likely (Base case)</t>
        </is>
      </c>
    </row>
    <row r="123" ht="17.5" customHeight="1">
      <c r="A123" s="36" t="inlineStr">
        <is>
          <t>3. Break-Even Analysis</t>
        </is>
      </c>
    </row>
    <row r="124" ht="17.5" customHeight="1">
      <c r="A124" s="36" t="inlineStr">
        <is>
          <t>Break-even Point: Month____________</t>
        </is>
      </c>
      <c r="B124" s="36" t="inlineStr">
        <is>
          <t xml:space="preserve"> Month ___</t>
        </is>
      </c>
    </row>
    <row r="125" ht="17.5" customHeight="1">
      <c r="A125" s="36" t="inlineStr">
        <is>
          <t>Break-even Revenue: $$</t>
        </is>
      </c>
    </row>
    <row r="126" ht="17.5" customHeight="1">
      <c r="A126" s="36" t="inlineStr">
        <is>
          <t>Time to Positive ROI:</t>
        </is>
      </c>
      <c r="B126" s="36" t="inlineStr">
        <is>
          <t xml:space="preserve"> ___ months</t>
        </is>
      </c>
    </row>
    <row r="127" ht="17.5" customHeight="1">
      <c r="A127" s="36" t="inlineStr">
        <is>
          <t>F. ROI Monitoring &amp; Optimization</t>
        </is>
      </c>
    </row>
    <row r="128" ht="17.5" customHeight="1">
      <c r="A128" s="36" t="inlineStr">
        <is>
          <t>1. Key Performance Indicators (KPIs)</t>
        </is>
      </c>
    </row>
    <row r="129" ht="17.5" customHeight="1">
      <c r="A129" s="36" t="inlineStr">
        <is>
          <t>KPI Category</t>
        </is>
      </c>
      <c r="B129" s="36" t="inlineStr">
        <is>
          <t>Metric</t>
        </is>
      </c>
      <c r="C129" s="36" t="inlineStr">
        <is>
          <t>Target</t>
        </is>
      </c>
      <c r="D129" s="36" t="inlineStr">
        <is>
          <t>Current</t>
        </is>
      </c>
      <c r="E129" s="36" t="inlineStr">
        <is>
          <t>Trend</t>
        </is>
      </c>
    </row>
    <row r="130" ht="17.5" customHeight="1">
      <c r="A130" s="36" t="inlineStr">
        <is>
          <t>Financial</t>
        </is>
      </c>
    </row>
    <row r="131" ht="17.5" customHeight="1">
      <c r="A131" s="36" t="inlineStr">
        <is>
          <t>- Monthly ROI</t>
        </is>
      </c>
      <c r="B131" s="36" t="inlineStr">
        <is>
          <t>Monthly net benefit/investment</t>
        </is>
      </c>
      <c r="C131" s="36" t="inlineStr">
        <is>
          <t>%</t>
        </is>
      </c>
      <c r="D131" s="36" t="inlineStr">
        <is>
          <t>%</t>
        </is>
      </c>
      <c r="E131" s="36" t="inlineStr">
        <is>
          <t>&amp;ShortUpArrow;/↓/→</t>
        </is>
      </c>
    </row>
    <row r="132" ht="17.5" customHeight="1">
      <c r="A132" s="36" t="inlineStr">
        <is>
          <t>- Cost per benefit</t>
        </is>
      </c>
      <c r="B132" s="36" t="inlineStr">
        <is>
          <t>Total costs/Total benefits</t>
        </is>
      </c>
      <c r="C132" s="36" t="inlineStr">
        <is>
          <t>$</t>
        </is>
      </c>
      <c r="D132" s="36" t="inlineStr">
        <is>
          <t>$</t>
        </is>
      </c>
      <c r="E132" s="36" t="inlineStr">
        <is>
          <t>&amp;ShortUpArrow;/↓/→</t>
        </is>
      </c>
    </row>
    <row r="133" ht="17.5" customHeight="1">
      <c r="A133" s="36" t="inlineStr">
        <is>
          <t>- Payback progress</t>
        </is>
      </c>
      <c r="B133" s="36" t="inlineStr">
        <is>
          <t>% of investment recovered</t>
        </is>
      </c>
      <c r="C133" s="36" t="inlineStr">
        <is>
          <t>%</t>
        </is>
      </c>
      <c r="D133" s="36" t="inlineStr">
        <is>
          <t>%</t>
        </is>
      </c>
      <c r="E133" s="36" t="inlineStr">
        <is>
          <t>&amp;ShortUpArrow;/↓/→</t>
        </is>
      </c>
    </row>
    <row r="134" ht="17.5" customHeight="1">
      <c r="A134" s="36" t="inlineStr">
        <is>
          <t>Operational</t>
        </is>
      </c>
    </row>
    <row r="135" ht="17.5" customHeight="1">
      <c r="A135" s="36" t="inlineStr">
        <is>
          <t>- Adoption rate</t>
        </is>
      </c>
      <c r="B135" s="36" t="inlineStr">
        <is>
          <t>% employees using GenAI</t>
        </is>
      </c>
      <c r="C135" s="36" t="inlineStr">
        <is>
          <t>%</t>
        </is>
      </c>
      <c r="D135" s="36" t="inlineStr">
        <is>
          <t>%</t>
        </is>
      </c>
      <c r="E135" s="36" t="inlineStr">
        <is>
          <t>&amp;ShortUpArrow;/↓/→</t>
        </is>
      </c>
    </row>
    <row r="136" ht="17.5" customHeight="1">
      <c r="A136" s="36" t="inlineStr">
        <is>
          <t>- Usage frequency</t>
        </is>
      </c>
      <c r="B136" s="36" t="inlineStr">
        <is>
          <t>Average daily/weekly usage</t>
        </is>
      </c>
      <c r="C136" s="36" t="inlineStr"/>
      <c r="D136" s="36" t="inlineStr"/>
      <c r="E136" s="36" t="inlineStr">
        <is>
          <t>&amp;ShortUpArrow;/↓/→</t>
        </is>
      </c>
    </row>
    <row r="137" ht="17.5" customHeight="1">
      <c r="A137" s="36" t="inlineStr">
        <is>
          <t>- Performance gains</t>
        </is>
      </c>
      <c r="B137" s="36" t="inlineStr">
        <is>
          <t>% improvement in key metrics</t>
        </is>
      </c>
      <c r="C137" s="36" t="inlineStr">
        <is>
          <t>%</t>
        </is>
      </c>
      <c r="D137" s="36" t="inlineStr">
        <is>
          <t>%</t>
        </is>
      </c>
      <c r="E137" s="36" t="inlineStr">
        <is>
          <t>&amp;ShortUpArrow;/↓/→</t>
        </is>
      </c>
    </row>
    <row r="138" ht="17.5" customHeight="1">
      <c r="A138" s="36" t="inlineStr">
        <is>
          <t>2. ROI Optimization Framework</t>
        </is>
      </c>
    </row>
    <row r="139" ht="17.5" customHeight="1">
      <c r="A139" s="36" t="inlineStr">
        <is>
          <t>Monthly Review Process</t>
        </is>
      </c>
    </row>
    <row r="140" ht="17.5" customHeight="1">
      <c r="A140" s="36" t="inlineStr">
        <is>
          <t>Data Collection:</t>
        </is>
      </c>
    </row>
    <row r="141" ht="17.5" customHeight="1">
      <c r="A141" s="36" t="inlineStr">
        <is>
          <t xml:space="preserve"> Gather actual performance data</t>
        </is>
      </c>
    </row>
    <row r="142" ht="17.5" customHeight="1">
      <c r="A142" s="36" t="inlineStr">
        <is>
          <t>Variance Analysis:</t>
        </is>
      </c>
    </row>
    <row r="143" ht="17.5" customHeight="1">
      <c r="A143" s="36" t="inlineStr">
        <is>
          <t xml:space="preserve"> Compare actual vs. projected ROI</t>
        </is>
      </c>
    </row>
    <row r="144" ht="17.5" customHeight="1">
      <c r="A144" s="36" t="inlineStr">
        <is>
          <t>Root Cause Analysis:</t>
        </is>
      </c>
    </row>
    <row r="145" ht="17.5" customHeight="1">
      <c r="A145" s="36" t="inlineStr">
        <is>
          <t xml:space="preserve"> Identify drivers of positive/negative variance</t>
        </is>
      </c>
    </row>
    <row r="146" ht="17.5" customHeight="1">
      <c r="A146" s="36" t="inlineStr">
        <is>
          <t>Action Planning:</t>
        </is>
      </c>
    </row>
    <row r="147" ht="17.5" customHeight="1">
      <c r="A147" s="36" t="inlineStr">
        <is>
          <t xml:space="preserve"> Develop improvement initiatives</t>
        </is>
      </c>
    </row>
    <row r="148" ht="17.5" customHeight="1">
      <c r="A148" s="36" t="inlineStr">
        <is>
          <t>Implementation:</t>
        </is>
      </c>
    </row>
    <row r="149" ht="17.5" customHeight="1">
      <c r="A149" s="36" t="inlineStr">
        <is>
          <t xml:space="preserve"> Execute optimization actions</t>
        </is>
      </c>
    </row>
    <row r="150" ht="17.5" customHeight="1">
      <c r="A150" s="36" t="inlineStr">
        <is>
          <t>Optimization Levers</t>
        </is>
      </c>
    </row>
    <row r="151" ht="17.5" customHeight="1">
      <c r="A151" s="36" t="inlineStr">
        <is>
          <t>Lever</t>
        </is>
      </c>
      <c r="B151" s="36" t="inlineStr">
        <is>
          <t>Current State</t>
        </is>
      </c>
      <c r="C151" s="36" t="inlineStr">
        <is>
          <t>Optimization Opportunity</t>
        </is>
      </c>
      <c r="D151" s="36" t="inlineStr">
        <is>
          <t>Expected Impact</t>
        </is>
      </c>
    </row>
    <row r="152" ht="17.5" customHeight="1">
      <c r="A152" s="36" t="inlineStr">
        <is>
          <t>User adoption</t>
        </is>
      </c>
      <c r="B152" s="36" t="inlineStr">
        <is>
          <t>%</t>
        </is>
      </c>
      <c r="C152" s="36" t="inlineStr">
        <is>
          <t>Increase to %</t>
        </is>
      </c>
      <c r="D152" s="36" t="inlineStr">
        <is>
          <t>+% ROI</t>
        </is>
      </c>
    </row>
    <row r="153" ht="17.5" customHeight="1">
      <c r="A153" s="36" t="inlineStr">
        <is>
          <t>Process efficiency</t>
        </is>
      </c>
      <c r="B153" s="36" t="inlineStr"/>
      <c r="C153" s="36" t="inlineStr">
        <is>
          <t>Improve by %</t>
        </is>
      </c>
      <c r="D153" s="36" t="inlineStr">
        <is>
          <t>+% ROI</t>
        </is>
      </c>
    </row>
    <row r="154" ht="17.5" customHeight="1">
      <c r="A154" s="36" t="inlineStr">
        <is>
          <t>Cost management</t>
        </is>
      </c>
      <c r="B154" s="36" t="inlineStr">
        <is>
          <t>$</t>
        </is>
      </c>
      <c r="C154" s="36" t="inlineStr">
        <is>
          <t>Reduce by %</t>
        </is>
      </c>
      <c r="D154" s="36" t="inlineStr">
        <is>
          <t>+% ROI</t>
        </is>
      </c>
    </row>
    <row r="155" ht="17.5" customHeight="1">
      <c r="A155" s="36" t="inlineStr">
        <is>
          <t>Scope expansion</t>
        </is>
      </c>
      <c r="B155" s="36" t="inlineStr">
        <is>
          <t>use cases</t>
        </is>
      </c>
      <c r="C155" s="36" t="inlineStr">
        <is>
          <t>Add use cases</t>
        </is>
      </c>
      <c r="D155" s="36" t="inlineStr">
        <is>
          <t>+__% ROI</t>
        </is>
      </c>
    </row>
    <row r="156" ht="17.5" customHeight="1">
      <c r="A156" s="36" t="inlineStr">
        <is>
          <t>G. ROI Reporting Template</t>
        </is>
      </c>
    </row>
    <row r="157" ht="17.5" customHeight="1">
      <c r="A157" s="36" t="inlineStr">
        <is>
          <t>Executive ROI Dashboard</t>
        </is>
      </c>
    </row>
    <row r="158" ht="17.5" customHeight="1">
      <c r="A158" s="36" t="inlineStr">
        <is>
          <t>Project:</t>
        </is>
      </c>
    </row>
    <row r="159" ht="17.5" customHeight="1">
      <c r="A159" s="36" t="inlineStr">
        <is>
          <t>Period:</t>
        </is>
      </c>
    </row>
    <row r="160" ht="17.5" customHeight="1">
      <c r="A160" s="36" t="inlineStr">
        <is>
          <t>Financial Summary</t>
        </is>
      </c>
    </row>
    <row r="161" ht="17.5" customHeight="1">
      <c r="A161" s="36" t="inlineStr">
        <is>
          <t>Total Investment to Date:</t>
        </is>
      </c>
      <c r="B161" s="36" t="inlineStr">
        <is>
          <t xml:space="preserve"> $</t>
        </is>
      </c>
    </row>
    <row r="162" ht="17.5" customHeight="1">
      <c r="A162" s="36" t="inlineStr">
        <is>
          <t>Total Benefits Realized:</t>
        </is>
      </c>
      <c r="B162" s="36" t="inlineStr">
        <is>
          <t xml:space="preserve"> $</t>
        </is>
      </c>
    </row>
    <row r="163" ht="17.5" customHeight="1">
      <c r="A163" s="36" t="inlineStr">
        <is>
          <t>Current ROI:</t>
        </is>
      </c>
      <c r="B163" s="36" t="inlineStr">
        <is>
          <t>%</t>
        </is>
      </c>
    </row>
    <row r="164" ht="17.5" customHeight="1">
      <c r="A164" s="36" t="inlineStr">
        <is>
          <t>Projected 3-Year ROI:</t>
        </is>
      </c>
      <c r="B164" s="36" t="inlineStr">
        <is>
          <t>%</t>
        </is>
      </c>
    </row>
    <row r="165" ht="17.5" customHeight="1">
      <c r="A165" s="36" t="inlineStr">
        <is>
          <t>Payback Period:</t>
        </is>
      </c>
      <c r="B165" s="36" t="inlineStr">
        <is>
          <t xml:space="preserve"> ___ months</t>
        </is>
      </c>
    </row>
    <row r="166" ht="17.5" customHeight="1">
      <c r="A166" s="36" t="inlineStr">
        <is>
          <t>Key Achievements</t>
        </is>
      </c>
    </row>
    <row r="167" ht="17.5" customHeight="1">
      <c r="A167" s="36" t="inlineStr">
        <is>
          <t>Areas for Improvement</t>
        </is>
      </c>
    </row>
    <row r="168" ht="17.5" customHeight="1">
      <c r="A168" s="36" t="inlineStr">
        <is>
          <t>Next Quarter Focus</t>
        </is>
      </c>
    </row>
    <row r="169" ht="17.5" customHeight="1">
      <c r="A169" s="36" t="inlineStr">
        <is>
          <t>Prepared by:</t>
        </is>
      </c>
    </row>
    <row r="170" ht="17.5" customHeight="1">
      <c r="A170" s="36" t="inlineStr">
        <is>
          <t>Date:</t>
        </is>
      </c>
    </row>
    <row r="171" ht="17.5" customHeight="1">
      <c r="A171" s="36" t="inlineStr">
        <is>
          <t>Reviewed by:</t>
        </is>
      </c>
    </row>
    <row r="172" ht="17.5" customHeight="1">
      <c r="A172" s="36" t="inlineStr">
        <is>
          <t>Date:</t>
        </is>
      </c>
    </row>
    <row r="173" ht="58" customHeight="1">
      <c r="A173" s="36" t="inlineStr">
        <is>
          <t>This ROI framework should be updated monthly for the first year, then quarterly thereafter. Regular reviews ensure continued alignment with business objectives and optimization opportunities.</t>
        </is>
      </c>
    </row>
  </sheetData>
  <pageMargins left="0.75" right="0.75" top="1" bottom="1" header="0.5" footer="0.5"/>
  <pageSetup orientation="landscape" fitToWidth="1"/>
</worksheet>
</file>

<file path=xl/worksheets/sheet10.xml><?xml version="1.0" encoding="utf-8"?>
<worksheet xmlns="http://schemas.openxmlformats.org/spreadsheetml/2006/main">
  <sheetPr>
    <tabColor rgb="009A9086"/>
    <outlinePr summaryBelow="1" summaryRight="1"/>
    <pageSetUpPr fitToPage="1"/>
  </sheetPr>
  <dimension ref="A1:D61"/>
  <sheetViews>
    <sheetView showGridLines="1" workbookViewId="0">
      <pane ySplit="1" topLeftCell="A2" activePane="bottomLeft" state="frozen"/>
      <selection pane="bottomLeft" activeCell="A1" sqref="A1"/>
    </sheetView>
  </sheetViews>
  <sheetFormatPr baseColWidth="8" defaultRowHeight="15"/>
  <cols>
    <col width="52" customWidth="1" min="1" max="1"/>
    <col width="30" customWidth="1" min="2" max="2"/>
    <col width="30" customWidth="1" min="3" max="3"/>
    <col width="30" customWidth="1" min="4" max="4"/>
    <col width="30" customWidth="1" min="5" max="5"/>
    <col width="30" customWidth="1" min="6" max="6"/>
    <col width="30" customWidth="1" min="7" max="7"/>
  </cols>
  <sheetData>
    <row r="1" ht="17.5" customHeight="1">
      <c r="A1" s="35" t="inlineStr">
        <is>
          <t>GenAI Partnership Negotiation Guide</t>
        </is>
      </c>
    </row>
    <row r="2" ht="17.5" customHeight="1">
      <c r="A2" s="36" t="inlineStr">
        <is>
          <t>PARTNERSHIP NEGOTIATION GUIDE &amp; TEMPLATE</t>
        </is>
      </c>
    </row>
    <row r="3" ht="58" customHeight="1">
      <c r="A3" s="36" t="inlineStr">
        <is>
          <t>Executive Overview</t>
        </is>
      </c>
      <c r="B3" s="36" t="inlineStr">
        <is>
          <t xml:space="preserve">This guide provides a structured template for negotiating GenAI partnerships, with a filled-in example tailored to the </t>
        </is>
      </c>
    </row>
    <row r="4" ht="17.5" customHeight="1">
      <c r="A4" s="36" t="inlineStr">
        <is>
          <t>A. Negotiation Preparation Checklist</t>
        </is>
      </c>
    </row>
    <row r="5" ht="17.5" customHeight="1">
      <c r="A5" s="36" t="inlineStr">
        <is>
          <t>Task</t>
        </is>
      </c>
      <c r="B5" s="36" t="inlineStr">
        <is>
          <t>Complete</t>
        </is>
      </c>
      <c r="C5" s="36" t="inlineStr">
        <is>
          <t>Notes</t>
        </is>
      </c>
    </row>
    <row r="6" ht="31" customHeight="1">
      <c r="A6" s="36" t="inlineStr">
        <is>
          <t>Define strategic objectives</t>
        </is>
      </c>
      <c r="B6" s="36" t="inlineStr">
        <is>
          <t>☐</t>
        </is>
      </c>
      <c r="C6" s="36" t="inlineStr">
        <is>
          <t>Improve customer personalization &amp; inventory optimization</t>
        </is>
      </c>
    </row>
    <row r="7" ht="31" customHeight="1">
      <c r="A7" s="36" t="inlineStr">
        <is>
          <t>Identify potential partners</t>
        </is>
      </c>
      <c r="B7" s="36" t="inlineStr">
        <is>
          <t>☐</t>
        </is>
      </c>
      <c r="C7" s="36" t="inlineStr">
        <is>
          <t>Shortlisted: AIStyle, TrendAI, PersonaFit</t>
        </is>
      </c>
    </row>
    <row r="8" ht="31" customHeight="1">
      <c r="A8" s="36" t="inlineStr">
        <is>
          <t>Assemble negotiation team</t>
        </is>
      </c>
      <c r="B8" s="36" t="inlineStr">
        <is>
          <t>☐</t>
        </is>
      </c>
      <c r="C8" s="36" t="inlineStr">
        <is>
          <t>CEO, CIO, Head of Merchandising, Legal Counsel</t>
        </is>
      </c>
    </row>
    <row r="9" ht="31" customHeight="1">
      <c r="A9" s="36" t="inlineStr">
        <is>
          <t>Gather market intelligence</t>
        </is>
      </c>
      <c r="B9" s="36" t="inlineStr">
        <is>
          <t>☐</t>
        </is>
      </c>
      <c r="C9" s="36" t="inlineStr">
        <is>
          <t>Benchmark retail AI deals, competitor analysis</t>
        </is>
      </c>
    </row>
    <row r="10" ht="31" customHeight="1">
      <c r="A10" s="36" t="inlineStr">
        <is>
          <t>Determine BATNA (Best Alternative to Negotiated Agreement)</t>
        </is>
      </c>
      <c r="B10" s="36" t="inlineStr">
        <is>
          <t>☐</t>
        </is>
      </c>
      <c r="C10" s="36" t="inlineStr">
        <is>
          <t>In-house AI pilot with existing data science team</t>
        </is>
      </c>
    </row>
    <row r="11" ht="31" customHeight="1">
      <c r="A11" s="36" t="inlineStr">
        <is>
          <t>Establish authority and decision rights</t>
        </is>
      </c>
      <c r="B11" s="36" t="inlineStr">
        <is>
          <t>☐</t>
        </is>
      </c>
      <c r="C11" s="36" t="inlineStr">
        <is>
          <t>CIO leads; final approval by CEO &amp; Board</t>
        </is>
      </c>
    </row>
    <row r="12" ht="17.5" customHeight="1">
      <c r="A12" s="36" t="inlineStr">
        <is>
          <t>B. Negotiation Framework</t>
        </is>
      </c>
    </row>
    <row r="13" ht="17.5" customHeight="1">
      <c r="A13" s="36" t="inlineStr">
        <is>
          <t>1. Value Creation &amp; Shared Objectives</t>
        </is>
      </c>
    </row>
    <row r="14" ht="17.5" customHeight="1">
      <c r="A14" s="36" t="inlineStr">
        <is>
          <t>Partner Goal</t>
        </is>
      </c>
      <c r="B14" s="36" t="inlineStr">
        <is>
          <t>Company Goal</t>
        </is>
      </c>
      <c r="C14" s="36" t="inlineStr">
        <is>
          <t>Mutual Value</t>
        </is>
      </c>
    </row>
    <row r="15" ht="31" customHeight="1">
      <c r="A15" s="36" t="inlineStr">
        <is>
          <t>Expand AI platform into fashion vertical</t>
        </is>
      </c>
      <c r="B15" s="36" t="inlineStr">
        <is>
          <t>Personalize customer experience</t>
        </is>
      </c>
      <c r="C15" s="36" t="inlineStr">
        <is>
          <t>Increase average basket size by 30%</t>
        </is>
      </c>
    </row>
    <row r="16" ht="31" customHeight="1">
      <c r="A16" s="36" t="inlineStr">
        <is>
          <t>Access proprietary customer data for model training</t>
        </is>
      </c>
      <c r="B16" s="36" t="inlineStr">
        <is>
          <t>Improve demand forecasting accuracy</t>
        </is>
      </c>
      <c r="C16" s="36" t="inlineStr">
        <is>
          <t>Reduce markdowns by 20%</t>
        </is>
      </c>
    </row>
    <row r="17" ht="31" customHeight="1">
      <c r="A17" s="36" t="inlineStr">
        <is>
          <t>Joint development of visual style recommender</t>
        </is>
      </c>
      <c r="B17" s="36" t="inlineStr">
        <is>
          <t>Boost merchandising differentiation</t>
        </is>
      </c>
      <c r="C17" s="36" t="inlineStr">
        <is>
          <t>Co-develop IP &amp; share royalties</t>
        </is>
      </c>
    </row>
    <row r="18" ht="17.5" customHeight="1">
      <c r="A18" s="36" t="inlineStr">
        <is>
          <t>2. Key Deal Terms Matrix</t>
        </is>
      </c>
    </row>
    <row r="19" ht="17.5" customHeight="1">
      <c r="A19" s="36" t="inlineStr">
        <is>
          <t>Term</t>
        </is>
      </c>
      <c r="B19" s="36" t="inlineStr">
        <is>
          <t>Apparel Position</t>
        </is>
      </c>
      <c r="C19" s="36" t="inlineStr">
        <is>
          <t>Partner Position</t>
        </is>
      </c>
      <c r="D19" s="36" t="inlineStr">
        <is>
          <t>Agreed Outcome</t>
        </is>
      </c>
    </row>
    <row r="20" ht="17.5" customHeight="1">
      <c r="A20" s="36" t="inlineStr">
        <is>
          <t>Contract Length</t>
        </is>
      </c>
      <c r="B20" s="36" t="inlineStr">
        <is>
          <t>3 years</t>
        </is>
      </c>
      <c r="C20" s="36" t="inlineStr">
        <is>
          <t>2 years</t>
        </is>
      </c>
      <c r="D20" s="36" t="inlineStr">
        <is>
          <t>3 years with 2-year renewal option</t>
        </is>
      </c>
    </row>
    <row r="21" ht="17.5" customHeight="1">
      <c r="A21" s="36" t="inlineStr">
        <is>
          <t>License Fees</t>
        </is>
      </c>
      <c r="B21" s="36" t="inlineStr">
        <is>
          <t>Tiered by usage</t>
        </is>
      </c>
      <c r="C21" s="36" t="inlineStr">
        <is>
          <t>Fixed annual</t>
        </is>
      </c>
      <c r="D21" s="36" t="inlineStr">
        <is>
          <t>Year 1: $1.2M, Years 2-3: rev-share above 5M sessions</t>
        </is>
      </c>
    </row>
    <row r="22" ht="31" customHeight="1">
      <c r="A22" s="36" t="inlineStr">
        <is>
          <t>Data Rights</t>
        </is>
      </c>
      <c r="B22" s="36" t="inlineStr">
        <is>
          <t>Retain full ownership; limited usage</t>
        </is>
      </c>
      <c r="C22" s="36" t="inlineStr">
        <is>
          <t>Shared rights for model training</t>
        </is>
      </c>
      <c r="D22" s="36" t="inlineStr">
        <is>
          <t>Partner uses anonymized data; no resale</t>
        </is>
      </c>
    </row>
    <row r="23" ht="31" customHeight="1">
      <c r="A23" s="36" t="inlineStr">
        <is>
          <t>IP Ownership</t>
        </is>
      </c>
      <c r="B23" s="36" t="inlineStr">
        <is>
          <t>Joint IP on co-developed modules</t>
        </is>
      </c>
      <c r="C23" s="36" t="inlineStr">
        <is>
          <t>Partner owns all</t>
        </is>
      </c>
      <c r="D23" s="36" t="inlineStr">
        <is>
          <t>Joint IP with revenue split 60/40</t>
        </is>
      </c>
    </row>
    <row r="24" ht="17.5" customHeight="1">
      <c r="A24" s="36" t="inlineStr">
        <is>
          <t>Service Levels</t>
        </is>
      </c>
      <c r="B24" s="36" t="inlineStr">
        <is>
          <t>99.9% uptime, 24/7 support</t>
        </is>
      </c>
      <c r="C24" s="36" t="inlineStr">
        <is>
          <t>99.5% uptime</t>
        </is>
      </c>
      <c r="D24" s="36" t="inlineStr">
        <is>
          <t>99.9% uptime + penalty credits</t>
        </is>
      </c>
    </row>
    <row r="25" ht="17.5" customHeight="1">
      <c r="A25" s="36" t="inlineStr">
        <is>
          <t>Exit Clauses</t>
        </is>
      </c>
      <c r="B25" s="36" t="inlineStr">
        <is>
          <t>60-day cure; data deletion</t>
        </is>
      </c>
      <c r="C25" s="36" t="inlineStr">
        <is>
          <t>90-day</t>
        </is>
      </c>
      <c r="D25" s="36" t="inlineStr">
        <is>
          <t>60-day cure; data purge in 30 days</t>
        </is>
      </c>
    </row>
    <row r="26" ht="17.5" customHeight="1">
      <c r="A26" s="36" t="inlineStr">
        <is>
          <t>3. Risk &amp; Compliance Checklist</t>
        </is>
      </c>
    </row>
    <row r="27" ht="17.5" customHeight="1">
      <c r="A27" s="36" t="inlineStr">
        <is>
          <t>Risk Area</t>
        </is>
      </c>
      <c r="B27" s="36" t="inlineStr">
        <is>
          <t>Mitigation Strategy</t>
        </is>
      </c>
      <c r="C27" s="36" t="inlineStr">
        <is>
          <t>Owner</t>
        </is>
      </c>
    </row>
    <row r="28" ht="17.5" customHeight="1">
      <c r="A28" s="36" t="inlineStr">
        <is>
          <t>Data Privacy (GDPR/CCPA)</t>
        </is>
      </c>
      <c r="B28" s="36" t="inlineStr">
        <is>
          <t>Privacy impact assessment &amp; DPA</t>
        </is>
      </c>
      <c r="C28" s="36" t="inlineStr">
        <is>
          <t>Legal Counsel</t>
        </is>
      </c>
    </row>
    <row r="29" ht="17.5" customHeight="1">
      <c r="A29" s="36" t="inlineStr">
        <is>
          <t>Model Bias</t>
        </is>
      </c>
      <c r="B29" s="36" t="inlineStr">
        <is>
          <t>Quarterly fairness audit</t>
        </is>
      </c>
      <c r="C29" s="36" t="inlineStr">
        <is>
          <t>Chief Data Officer</t>
        </is>
      </c>
    </row>
    <row r="30" ht="17.5" customHeight="1">
      <c r="A30" s="36" t="inlineStr">
        <is>
          <t>Performance Failure</t>
        </is>
      </c>
      <c r="B30" s="36" t="inlineStr">
        <is>
          <t>SLA penalties up to 15% fees</t>
        </is>
      </c>
      <c r="C30" s="36" t="inlineStr">
        <is>
          <t>Procurement Lead</t>
        </is>
      </c>
    </row>
    <row r="31" ht="17.5" customHeight="1">
      <c r="A31" s="36" t="inlineStr">
        <is>
          <t>IP Infringement</t>
        </is>
      </c>
      <c r="B31" s="36" t="inlineStr">
        <is>
          <t>Mutual indemnity</t>
        </is>
      </c>
      <c r="C31" s="36" t="inlineStr">
        <is>
          <t>Both parties</t>
        </is>
      </c>
    </row>
    <row r="32" ht="17.5" customHeight="1">
      <c r="A32" s="36" t="inlineStr">
        <is>
          <t>Reputational Risk</t>
        </is>
      </c>
      <c r="B32" s="36" t="inlineStr">
        <is>
          <t>Joint comms plan</t>
        </is>
      </c>
      <c r="C32" s="36" t="inlineStr">
        <is>
          <t>Marketing Heads</t>
        </is>
      </c>
    </row>
    <row r="33" ht="17.5" customHeight="1">
      <c r="A33" s="36" t="inlineStr">
        <is>
          <t>4. Negotiation Agenda Template</t>
        </is>
      </c>
    </row>
    <row r="34" ht="17.5" customHeight="1">
      <c r="A34" s="36" t="inlineStr">
        <is>
          <t>Introductions &amp; goals</t>
        </is>
      </c>
    </row>
    <row r="35" ht="17.5" customHeight="1">
      <c r="A35" s="36" t="inlineStr">
        <is>
          <t>Review of strategic objectives</t>
        </is>
      </c>
    </row>
    <row r="36" ht="17.5" customHeight="1">
      <c r="A36" s="36" t="inlineStr">
        <is>
          <t>Discussion of key deal terms (Fees, Data, IP, SLAs)</t>
        </is>
      </c>
    </row>
    <row r="37" ht="17.5" customHeight="1">
      <c r="A37" s="36" t="inlineStr">
        <is>
          <t>Risk &amp; compliance considerations</t>
        </is>
      </c>
    </row>
    <row r="38" ht="17.5" customHeight="1">
      <c r="A38" s="36" t="inlineStr">
        <is>
          <t>Governance &amp; collaboration model</t>
        </is>
      </c>
    </row>
    <row r="39" ht="17.5" customHeight="1">
      <c r="A39" s="36" t="inlineStr">
        <is>
          <t>Next steps &amp; action items</t>
        </is>
      </c>
    </row>
    <row r="40" ht="17.5" customHeight="1">
      <c r="A40" s="36" t="inlineStr">
        <is>
          <t>5. Decision &amp; Approval Workflow</t>
        </is>
      </c>
    </row>
    <row r="41" ht="17.5" customHeight="1">
      <c r="A41" s="36" t="inlineStr">
        <is>
          <t>Stage</t>
        </is>
      </c>
      <c r="B41" s="36" t="inlineStr">
        <is>
          <t>Approver</t>
        </is>
      </c>
      <c r="C41" s="36" t="inlineStr">
        <is>
          <t>Status</t>
        </is>
      </c>
    </row>
    <row r="42" ht="17.5" customHeight="1">
      <c r="A42" s="36" t="inlineStr">
        <is>
          <t>Deal Checklist Review</t>
        </is>
      </c>
      <c r="B42" s="36" t="inlineStr">
        <is>
          <t>CIO</t>
        </is>
      </c>
      <c r="C42" s="36" t="inlineStr">
        <is>
          <t>☐</t>
        </is>
      </c>
    </row>
    <row r="43" ht="17.5" customHeight="1">
      <c r="A43" s="36" t="inlineStr">
        <is>
          <t>Legal Contract Review</t>
        </is>
      </c>
      <c r="B43" s="36" t="inlineStr">
        <is>
          <t>General Counsel</t>
        </is>
      </c>
      <c r="C43" s="36" t="inlineStr">
        <is>
          <t>☐</t>
        </is>
      </c>
    </row>
    <row r="44" ht="17.5" customHeight="1">
      <c r="A44" s="36" t="inlineStr">
        <is>
          <t>Financial Sign-off</t>
        </is>
      </c>
      <c r="B44" s="36" t="inlineStr">
        <is>
          <t>CFO</t>
        </is>
      </c>
      <c r="C44" s="36" t="inlineStr">
        <is>
          <t>☐</t>
        </is>
      </c>
    </row>
    <row r="45" ht="17.5" customHeight="1">
      <c r="A45" s="36" t="inlineStr">
        <is>
          <t>Board Approval</t>
        </is>
      </c>
      <c r="B45" s="36" t="inlineStr">
        <is>
          <t>Board Strategy Committee</t>
        </is>
      </c>
      <c r="C45" s="36" t="inlineStr">
        <is>
          <t>☐</t>
        </is>
      </c>
    </row>
    <row r="46" ht="17.5" customHeight="1">
      <c r="A46" s="36" t="inlineStr">
        <is>
          <t>Contract Execution</t>
        </is>
      </c>
      <c r="B46" s="36" t="inlineStr">
        <is>
          <t>CEO &amp; Partner CEO</t>
        </is>
      </c>
      <c r="C46" s="36" t="inlineStr">
        <is>
          <t>☐</t>
        </is>
      </c>
    </row>
    <row r="47" ht="17.5" customHeight="1">
      <c r="A47" s="36" t="inlineStr">
        <is>
          <t>C. Filled-In Summary Sheet (Apparel Example)</t>
        </is>
      </c>
    </row>
    <row r="48" ht="17.5" customHeight="1">
      <c r="A48" s="36" t="inlineStr">
        <is>
          <t>Parties:</t>
        </is>
      </c>
    </row>
    <row r="49" ht="17.5" customHeight="1">
      <c r="A49" s="36" t="inlineStr">
        <is>
          <t>XXXXXXXXXX. (FNR) &amp; AIStyle Inc. (AIS)</t>
        </is>
      </c>
    </row>
    <row r="50" ht="17.5" customHeight="1">
      <c r="A50" s="36" t="inlineStr">
        <is>
          <t>Objective:</t>
        </is>
      </c>
    </row>
    <row r="51" ht="31" customHeight="1">
      <c r="A51" s="36" t="inlineStr">
        <is>
          <t xml:space="preserve"> Deploy GenAI style recommender to increase online conversion by 25% and reduce stockouts.</t>
        </is>
      </c>
    </row>
    <row r="52" ht="17.5" customHeight="1">
      <c r="A52" s="36" t="inlineStr">
        <is>
          <t>Key Metrics:</t>
        </is>
      </c>
    </row>
    <row r="53" ht="17.5" customHeight="1">
      <c r="A53" s="36" t="inlineStr">
        <is>
          <t>Conversion uplift ≥ 25% within 12 months</t>
        </is>
      </c>
    </row>
    <row r="54" ht="17.5" customHeight="1">
      <c r="A54" s="36" t="inlineStr">
        <is>
          <t>Markdown reduction ≥ 15%</t>
        </is>
      </c>
    </row>
    <row r="55" ht="17.5" customHeight="1">
      <c r="A55" s="36" t="inlineStr">
        <is>
          <t>Average recommendation click-through ≥ 18%</t>
        </is>
      </c>
    </row>
    <row r="56" ht="17.5" customHeight="1">
      <c r="A56" s="36" t="inlineStr">
        <is>
          <t>Timeline:</t>
        </is>
      </c>
    </row>
    <row r="57" ht="17.5" customHeight="1">
      <c r="A57" s="36" t="inlineStr">
        <is>
          <t>Pilot launch: Nov-2025</t>
        </is>
      </c>
    </row>
    <row r="58" ht="17.5" customHeight="1">
      <c r="A58" s="36" t="inlineStr">
        <is>
          <t>Full rollout: Mar-2026</t>
        </is>
      </c>
    </row>
    <row r="59" ht="17.5" customHeight="1">
      <c r="A59" s="36" t="inlineStr">
        <is>
          <t>Governance:</t>
        </is>
      </c>
    </row>
    <row r="60" ht="31" customHeight="1">
      <c r="A60" s="36" t="inlineStr">
        <is>
          <t xml:space="preserve"> Monthly steering committee, quarterly executive review.</t>
        </is>
      </c>
    </row>
    <row r="61" ht="58" customHeight="1">
      <c r="A61" s="36" t="inlineStr">
        <is>
          <t>Use this guide as a live document during each negotiation stage. Update the matrices and checklists as positions evolve. Upon deal completion, archive the final version for audit and knowledge sharing.</t>
        </is>
      </c>
    </row>
  </sheetData>
  <pageMargins left="0.75" right="0.75" top="1" bottom="1" header="0.5" footer="0.5"/>
  <pageSetup orientation="landscape" fitToWidth="1"/>
</worksheet>
</file>

<file path=xl/worksheets/sheet11.xml><?xml version="1.0" encoding="utf-8"?>
<worksheet xmlns="http://schemas.openxmlformats.org/spreadsheetml/2006/main">
  <sheetPr>
    <tabColor rgb="009A9086"/>
    <outlinePr summaryBelow="1" summaryRight="1"/>
    <pageSetUpPr fitToPage="1"/>
  </sheetPr>
  <dimension ref="A1:E227"/>
  <sheetViews>
    <sheetView showGridLines="1" workbookViewId="0">
      <pane ySplit="1" topLeftCell="A2" activePane="bottomLeft" state="frozen"/>
      <selection pane="bottomLeft" activeCell="A1" sqref="A1"/>
    </sheetView>
  </sheetViews>
  <sheetFormatPr baseColWidth="8" defaultRowHeight="15"/>
  <cols>
    <col width="52" customWidth="1" min="1" max="1"/>
    <col width="30" customWidth="1" min="2" max="2"/>
    <col width="30" customWidth="1" min="3" max="3"/>
    <col width="30" customWidth="1" min="4" max="4"/>
    <col width="30" customWidth="1" min="5" max="5"/>
    <col width="30" customWidth="1" min="6" max="6"/>
    <col width="30" customWidth="1" min="7" max="7"/>
  </cols>
  <sheetData>
    <row r="1" ht="17.5" customHeight="1">
      <c r="A1" s="35" t="inlineStr">
        <is>
          <t>GenAI Ethical Decision-Making Checklist</t>
        </is>
      </c>
    </row>
    <row r="2" ht="112" customHeight="1">
      <c r="A2" s="36" t="inlineStr">
        <is>
          <t>Executive Overview</t>
        </is>
      </c>
      <c r="B2" s="36" t="inlineStr">
        <is>
          <t>This comprehensive checklist ensures responsible and ethical implementation of GenAI technologies across all organizational functions. It provides structured guidance for ethical decision-making at every stage of GenAI adoption.</t>
        </is>
      </c>
    </row>
    <row r="3" ht="17.5" customHeight="1">
      <c r="A3" s="36" t="inlineStr">
        <is>
          <t>A. Pre-Implementation Ethical Assessment</t>
        </is>
      </c>
    </row>
    <row r="4" ht="17.5" customHeight="1">
      <c r="A4" s="36" t="inlineStr">
        <is>
          <t>1. Purpose and Intent Evaluation</t>
        </is>
      </c>
    </row>
    <row r="5" ht="17.5" customHeight="1">
      <c r="A5" s="36" t="inlineStr">
        <is>
          <t>Before implementing any GenAI solution, assess:</t>
        </is>
      </c>
    </row>
    <row r="6" ht="17.5" customHeight="1">
      <c r="A6" s="36" t="inlineStr">
        <is>
          <t>Ethical Question</t>
        </is>
      </c>
      <c r="B6" s="36" t="inlineStr">
        <is>
          <t>Yes</t>
        </is>
      </c>
      <c r="C6" s="36" t="inlineStr">
        <is>
          <t>No</t>
        </is>
      </c>
      <c r="D6" s="36" t="inlineStr">
        <is>
          <t>Action Required</t>
        </is>
      </c>
    </row>
    <row r="7" ht="31" customHeight="1">
      <c r="A7" s="36" t="inlineStr">
        <is>
          <t>Is the intended use of GenAI clearly defined and documented?</t>
        </is>
      </c>
      <c r="B7" s="36" t="inlineStr">
        <is>
          <t>☐</t>
        </is>
      </c>
      <c r="C7" s="36" t="inlineStr">
        <is>
          <t>☐</t>
        </is>
      </c>
    </row>
    <row r="8" ht="31" customHeight="1">
      <c r="A8" s="36" t="inlineStr">
        <is>
          <t>Does the GenAI application serve legitimate business objectives?</t>
        </is>
      </c>
      <c r="B8" s="36" t="inlineStr">
        <is>
          <t>☐</t>
        </is>
      </c>
      <c r="C8" s="36" t="inlineStr">
        <is>
          <t>☐</t>
        </is>
      </c>
    </row>
    <row r="9" ht="31" customHeight="1">
      <c r="A9" s="36" t="inlineStr">
        <is>
          <t>Could the GenAI system be used for harmful or discriminatory purposes?</t>
        </is>
      </c>
      <c r="B9" s="36" t="inlineStr">
        <is>
          <t>☐</t>
        </is>
      </c>
      <c r="C9" s="36" t="inlineStr">
        <is>
          <t>☐</t>
        </is>
      </c>
    </row>
    <row r="10" ht="31" customHeight="1">
      <c r="A10" s="36" t="inlineStr">
        <is>
          <t>Have we considered all stakeholders affected by this GenAI implementation?</t>
        </is>
      </c>
      <c r="B10" s="36" t="inlineStr">
        <is>
          <t>☐</t>
        </is>
      </c>
      <c r="C10" s="36" t="inlineStr">
        <is>
          <t>☐</t>
        </is>
      </c>
    </row>
    <row r="11" ht="31" customHeight="1">
      <c r="A11" s="36" t="inlineStr">
        <is>
          <t>Is there a clear business justification that outweighs potential risks?</t>
        </is>
      </c>
      <c r="B11" s="36" t="inlineStr">
        <is>
          <t>☐</t>
        </is>
      </c>
      <c r="C11" s="36" t="inlineStr">
        <is>
          <t>☐</t>
        </is>
      </c>
    </row>
    <row r="12" ht="17.5" customHeight="1">
      <c r="A12" s="36" t="inlineStr">
        <is>
          <t>2. Stakeholder Impact Analysis</t>
        </is>
      </c>
    </row>
    <row r="13" ht="17.5" customHeight="1">
      <c r="A13" s="36" t="inlineStr">
        <is>
          <t>Internal Stakeholders</t>
        </is>
      </c>
    </row>
    <row r="14" ht="17.5" customHeight="1">
      <c r="A14" s="36" t="inlineStr">
        <is>
          <t>Stakeholder Group</t>
        </is>
      </c>
      <c r="B14" s="36" t="inlineStr">
        <is>
          <t>Potential Impact</t>
        </is>
      </c>
      <c r="C14" s="36" t="inlineStr">
        <is>
          <t>Mitigation Strategy</t>
        </is>
      </c>
      <c r="D14" s="36" t="inlineStr">
        <is>
          <t>Approval Status</t>
        </is>
      </c>
    </row>
    <row r="15" ht="17.5" customHeight="1">
      <c r="A15" s="36" t="inlineStr">
        <is>
          <t>Employees</t>
        </is>
      </c>
      <c r="B15" s="36" t="inlineStr"/>
      <c r="C15" s="36" t="inlineStr"/>
      <c r="D15" s="36" t="inlineStr">
        <is>
          <t>☐ Approved ☐ Under Review</t>
        </is>
      </c>
    </row>
    <row r="16" ht="17.5" customHeight="1">
      <c r="A16" s="36" t="inlineStr">
        <is>
          <t>Management</t>
        </is>
      </c>
      <c r="B16" s="36" t="inlineStr"/>
      <c r="C16" s="36" t="inlineStr"/>
      <c r="D16" s="36" t="inlineStr">
        <is>
          <t>☐ Approved ☐ Under Review</t>
        </is>
      </c>
    </row>
    <row r="17" ht="17.5" customHeight="1">
      <c r="A17" s="36" t="inlineStr">
        <is>
          <t>IT Department</t>
        </is>
      </c>
      <c r="B17" s="36" t="inlineStr"/>
      <c r="C17" s="36" t="inlineStr"/>
      <c r="D17" s="36" t="inlineStr">
        <is>
          <t>☐ Approved ☐ Under Review</t>
        </is>
      </c>
    </row>
    <row r="18" ht="17.5" customHeight="1">
      <c r="A18" s="36" t="inlineStr">
        <is>
          <t>Legal/Compliance</t>
        </is>
      </c>
      <c r="B18" s="36" t="inlineStr"/>
      <c r="C18" s="36" t="inlineStr"/>
      <c r="D18" s="36" t="inlineStr">
        <is>
          <t>☐ Approved ☐ Under Review</t>
        </is>
      </c>
    </row>
    <row r="19" ht="17.5" customHeight="1">
      <c r="A19" s="36" t="inlineStr">
        <is>
          <t>External Stakeholders</t>
        </is>
      </c>
    </row>
    <row r="20" ht="17.5" customHeight="1">
      <c r="A20" s="36" t="inlineStr">
        <is>
          <t>Stakeholder Group</t>
        </is>
      </c>
      <c r="B20" s="36" t="inlineStr">
        <is>
          <t>Potential Impact</t>
        </is>
      </c>
      <c r="C20" s="36" t="inlineStr">
        <is>
          <t>Mitigation Strategy</t>
        </is>
      </c>
      <c r="D20" s="36" t="inlineStr">
        <is>
          <t>Approval Status</t>
        </is>
      </c>
    </row>
    <row r="21" ht="17.5" customHeight="1">
      <c r="A21" s="36" t="inlineStr">
        <is>
          <t>Customers</t>
        </is>
      </c>
      <c r="B21" s="36" t="inlineStr"/>
      <c r="C21" s="36" t="inlineStr"/>
      <c r="D21" s="36" t="inlineStr">
        <is>
          <t>☐ Approved ☐ Under Review</t>
        </is>
      </c>
    </row>
    <row r="22" ht="17.5" customHeight="1">
      <c r="A22" s="36" t="inlineStr">
        <is>
          <t>Suppliers/Partners</t>
        </is>
      </c>
      <c r="B22" s="36" t="inlineStr"/>
      <c r="C22" s="36" t="inlineStr"/>
      <c r="D22" s="36" t="inlineStr">
        <is>
          <t>☐ Approved ☐ Under Review</t>
        </is>
      </c>
    </row>
    <row r="23" ht="17.5" customHeight="1">
      <c r="A23" s="36" t="inlineStr">
        <is>
          <t>Regulatory Bodies</t>
        </is>
      </c>
      <c r="B23" s="36" t="inlineStr"/>
      <c r="C23" s="36" t="inlineStr"/>
      <c r="D23" s="36" t="inlineStr">
        <is>
          <t>☐ Approved ☐ Under Review</t>
        </is>
      </c>
    </row>
    <row r="24" ht="17.5" customHeight="1">
      <c r="A24" s="36" t="inlineStr">
        <is>
          <t>Community/Society</t>
        </is>
      </c>
      <c r="B24" s="36" t="inlineStr"/>
      <c r="C24" s="36" t="inlineStr"/>
      <c r="D24" s="36" t="inlineStr">
        <is>
          <t>☐ Approved ☐ Under Review</t>
        </is>
      </c>
    </row>
    <row r="25" ht="17.5" customHeight="1">
      <c r="A25" s="36" t="inlineStr">
        <is>
          <t>B. Core Ethical Principles Assessment</t>
        </is>
      </c>
    </row>
    <row r="26" ht="17.5" customHeight="1">
      <c r="A26" s="36" t="inlineStr">
        <is>
          <t>1. Transparency and Explainability</t>
        </is>
      </c>
    </row>
    <row r="27" ht="31" customHeight="1">
      <c r="A27" s="36" t="inlineStr">
        <is>
          <t>Ensure AI systems are transparent and decisions can be explained</t>
        </is>
      </c>
    </row>
    <row r="28" ht="17.5" customHeight="1">
      <c r="A28" s="36" t="inlineStr">
        <is>
          <t>Requirement</t>
        </is>
      </c>
      <c r="B28" s="36" t="inlineStr">
        <is>
          <t>Status</t>
        </is>
      </c>
      <c r="C28" s="36" t="inlineStr">
        <is>
          <t>Evidence/Documentation</t>
        </is>
      </c>
    </row>
    <row r="29" ht="17.5" customHeight="1">
      <c r="A29" s="36" t="inlineStr">
        <is>
          <t>AI Disclosure</t>
        </is>
      </c>
    </row>
    <row r="30" ht="17.5" customHeight="1">
      <c r="A30" s="36" t="inlineStr">
        <is>
          <t>Is it clearly disclosed when AI is being used?</t>
        </is>
      </c>
      <c r="B30" s="36" t="inlineStr">
        <is>
          <t>☐ Complete ☐ Partial ☐ Missing</t>
        </is>
      </c>
    </row>
    <row r="31" ht="31" customHeight="1">
      <c r="A31" s="36" t="inlineStr">
        <is>
          <t>Are users informed about AI-generated content/decisions?</t>
        </is>
      </c>
      <c r="B31" s="36" t="inlineStr">
        <is>
          <t>☐ Complete ☐ Partial ☐ Missing</t>
        </is>
      </c>
    </row>
    <row r="32" ht="17.5" customHeight="1">
      <c r="A32" s="36" t="inlineStr">
        <is>
          <t>Explainability</t>
        </is>
      </c>
    </row>
    <row r="33" ht="17.5" customHeight="1">
      <c r="A33" s="36" t="inlineStr">
        <is>
          <t>Can AI decisions be explained in understandable terms?</t>
        </is>
      </c>
      <c r="B33" s="36" t="inlineStr">
        <is>
          <t>☐ Complete ☐ Partial ☐ Missing</t>
        </is>
      </c>
    </row>
    <row r="34" ht="17.5" customHeight="1">
      <c r="A34" s="36" t="inlineStr">
        <is>
          <t>Are explanation mechanisms built into the system?</t>
        </is>
      </c>
      <c r="B34" s="36" t="inlineStr">
        <is>
          <t>☐ Complete ☐ Partial ☐ Missing</t>
        </is>
      </c>
    </row>
    <row r="35" ht="17.5" customHeight="1">
      <c r="A35" s="36" t="inlineStr">
        <is>
          <t>Documentation</t>
        </is>
      </c>
    </row>
    <row r="36" ht="17.5" customHeight="1">
      <c r="A36" s="36" t="inlineStr">
        <is>
          <t>Is the AI system's functionality clearly documented?</t>
        </is>
      </c>
      <c r="B36" s="36" t="inlineStr">
        <is>
          <t>☐ Complete ☐ Partial ☐ Missing</t>
        </is>
      </c>
    </row>
    <row r="37" ht="17.5" customHeight="1">
      <c r="A37" s="36" t="inlineStr">
        <is>
          <t>Are limitations and capabilities clearly stated?</t>
        </is>
      </c>
      <c r="B37" s="36" t="inlineStr">
        <is>
          <t>☐ Complete ☐ Partial ☐ Missing</t>
        </is>
      </c>
    </row>
    <row r="38" ht="17.5" customHeight="1">
      <c r="A38" s="36" t="inlineStr">
        <is>
          <t>2. Fairness and Non-Discrimination</t>
        </is>
      </c>
    </row>
    <row r="39" ht="17.5" customHeight="1">
      <c r="A39" s="36" t="inlineStr">
        <is>
          <t>Ensure equitable treatment and prevent bias</t>
        </is>
      </c>
    </row>
    <row r="40" ht="17.5" customHeight="1">
      <c r="A40" s="36" t="inlineStr">
        <is>
          <t>Bias Detection Checklist</t>
        </is>
      </c>
    </row>
    <row r="41" ht="17.5" customHeight="1">
      <c r="A41" s="36" t="inlineStr">
        <is>
          <t>Bias Type</t>
        </is>
      </c>
      <c r="B41" s="36" t="inlineStr">
        <is>
          <t>Assessment Complete</t>
        </is>
      </c>
      <c r="C41" s="36" t="inlineStr">
        <is>
          <t>Bias Level</t>
        </is>
      </c>
      <c r="D41" s="36" t="inlineStr">
        <is>
          <t>Mitigation Plan</t>
        </is>
      </c>
    </row>
    <row r="42" ht="17.5" customHeight="1">
      <c r="A42" s="36" t="inlineStr">
        <is>
          <t>Historical Bias</t>
        </is>
      </c>
      <c r="B42" s="36" t="inlineStr">
        <is>
          <t>☐ Yes ☐ No</t>
        </is>
      </c>
      <c r="C42" s="36" t="inlineStr">
        <is>
          <t>☐ High ☐ Medium ☐ Low</t>
        </is>
      </c>
    </row>
    <row r="43" ht="17.5" customHeight="1">
      <c r="A43" s="36" t="inlineStr">
        <is>
          <t>- Training data reflects past discrimination</t>
        </is>
      </c>
    </row>
    <row r="44" ht="17.5" customHeight="1">
      <c r="A44" s="36" t="inlineStr">
        <is>
          <t>Representation Bias</t>
        </is>
      </c>
      <c r="B44" s="36" t="inlineStr">
        <is>
          <t>☐ Yes ☐ No</t>
        </is>
      </c>
      <c r="C44" s="36" t="inlineStr">
        <is>
          <t>☐ High ☐ Medium ☐ Low</t>
        </is>
      </c>
    </row>
    <row r="45" ht="17.5" customHeight="1">
      <c r="A45" s="36" t="inlineStr">
        <is>
          <t>- Underrepresentation of certain groups</t>
        </is>
      </c>
    </row>
    <row r="46" ht="17.5" customHeight="1">
      <c r="A46" s="36" t="inlineStr">
        <is>
          <t>Measurement Bias</t>
        </is>
      </c>
      <c r="B46" s="36" t="inlineStr">
        <is>
          <t>☐ Yes ☐ No</t>
        </is>
      </c>
      <c r="C46" s="36" t="inlineStr">
        <is>
          <t>☐ High ☐ Medium ☐ Low</t>
        </is>
      </c>
    </row>
    <row r="47" ht="17.5" customHeight="1">
      <c r="A47" s="36" t="inlineStr">
        <is>
          <t>- Different quality metrics for different groups</t>
        </is>
      </c>
    </row>
    <row r="48" ht="17.5" customHeight="1">
      <c r="A48" s="36" t="inlineStr">
        <is>
          <t>Evaluation Bias</t>
        </is>
      </c>
      <c r="B48" s="36" t="inlineStr">
        <is>
          <t>☐ Yes ☐ No</t>
        </is>
      </c>
      <c r="C48" s="36" t="inlineStr">
        <is>
          <t>☐ High ☐ Medium ☐ Low</t>
        </is>
      </c>
    </row>
    <row r="49" ht="17.5" customHeight="1">
      <c r="A49" s="36" t="inlineStr">
        <is>
          <t>- Inappropriate benchmarks or testing</t>
        </is>
      </c>
    </row>
    <row r="50" ht="17.5" customHeight="1">
      <c r="A50" s="36" t="inlineStr">
        <is>
          <t>Fairness Metrics Implementation</t>
        </is>
      </c>
    </row>
    <row r="51" ht="17.5" customHeight="1">
      <c r="A51" s="36" t="inlineStr">
        <is>
          <t>Fairness Criteria</t>
        </is>
      </c>
      <c r="B51" s="36" t="inlineStr">
        <is>
          <t>Target</t>
        </is>
      </c>
      <c r="C51" s="36" t="inlineStr">
        <is>
          <t>Current</t>
        </is>
      </c>
      <c r="D51" s="36" t="inlineStr">
        <is>
          <t>Compliant</t>
        </is>
      </c>
    </row>
    <row r="52" ht="17.5" customHeight="1">
      <c r="A52" s="36" t="inlineStr">
        <is>
          <t>Demographic parity</t>
        </is>
      </c>
      <c r="B52" s="36" t="inlineStr">
        <is>
          <t>Equal outcomes across groups</t>
        </is>
      </c>
      <c r="C52" s="36" t="inlineStr"/>
      <c r="D52" s="36" t="inlineStr">
        <is>
          <t>☐ Yes ☐ No</t>
        </is>
      </c>
    </row>
    <row r="53" ht="17.5" customHeight="1">
      <c r="A53" s="36" t="inlineStr">
        <is>
          <t>Equal opportunity</t>
        </is>
      </c>
      <c r="B53" s="36" t="inlineStr">
        <is>
          <t>Equal true positive rates</t>
        </is>
      </c>
      <c r="C53" s="36" t="inlineStr"/>
      <c r="D53" s="36" t="inlineStr">
        <is>
          <t>☐ Yes ☐ No</t>
        </is>
      </c>
    </row>
    <row r="54" ht="31" customHeight="1">
      <c r="A54" s="36" t="inlineStr">
        <is>
          <t>Equalized odds</t>
        </is>
      </c>
      <c r="B54" s="36" t="inlineStr">
        <is>
          <t>Equal false positive/negative rates</t>
        </is>
      </c>
      <c r="C54" s="36" t="inlineStr"/>
      <c r="D54" s="36" t="inlineStr">
        <is>
          <t>☐ Yes ☐ No</t>
        </is>
      </c>
    </row>
    <row r="55" ht="31" customHeight="1">
      <c r="A55" s="36" t="inlineStr">
        <is>
          <t>Individual fairness</t>
        </is>
      </c>
      <c r="B55" s="36" t="inlineStr">
        <is>
          <t>Similar individuals treated similarly</t>
        </is>
      </c>
      <c r="C55" s="36" t="inlineStr"/>
      <c r="D55" s="36" t="inlineStr">
        <is>
          <t>☐ Yes ☐ No</t>
        </is>
      </c>
    </row>
    <row r="56" ht="17.5" customHeight="1">
      <c r="A56" s="36" t="inlineStr">
        <is>
          <t>3. Privacy and Data Protection</t>
        </is>
      </c>
    </row>
    <row r="57" ht="31" customHeight="1">
      <c r="A57" s="36" t="inlineStr">
        <is>
          <t>Protect individual privacy and comply with data regulations</t>
        </is>
      </c>
    </row>
    <row r="58" ht="17.5" customHeight="1">
      <c r="A58" s="36" t="inlineStr">
        <is>
          <t>Privacy Principle</t>
        </is>
      </c>
      <c r="B58" s="36" t="inlineStr">
        <is>
          <t>Compliance Status</t>
        </is>
      </c>
      <c r="C58" s="36" t="inlineStr">
        <is>
          <t>Evidence</t>
        </is>
      </c>
    </row>
    <row r="59" ht="17.5" customHeight="1">
      <c r="A59" s="36" t="inlineStr">
        <is>
          <t>Data Minimization</t>
        </is>
      </c>
    </row>
    <row r="60" ht="31" customHeight="1">
      <c r="A60" s="36" t="inlineStr">
        <is>
          <t>Only necessary data is collected and used</t>
        </is>
      </c>
      <c r="B60" s="36" t="inlineStr">
        <is>
          <t>☐ Compliant ☐ Partial ☐ Non-compliant</t>
        </is>
      </c>
    </row>
    <row r="61" ht="31" customHeight="1">
      <c r="A61" s="36" t="inlineStr">
        <is>
          <t>Data retention policies are defined and followed</t>
        </is>
      </c>
      <c r="B61" s="36" t="inlineStr">
        <is>
          <t>☐ Compliant ☐ Partial ☐ Non-compliant</t>
        </is>
      </c>
    </row>
    <row r="62" ht="17.5" customHeight="1">
      <c r="A62" s="36" t="inlineStr">
        <is>
          <t>Consent Management</t>
        </is>
      </c>
    </row>
    <row r="63" ht="31" customHeight="1">
      <c r="A63" s="36" t="inlineStr">
        <is>
          <t>Valid consent obtained for data use</t>
        </is>
      </c>
      <c r="B63" s="36" t="inlineStr">
        <is>
          <t>☐ Compliant ☐ Partial ☐ Non-compliant</t>
        </is>
      </c>
    </row>
    <row r="64" ht="31" customHeight="1">
      <c r="A64" s="36" t="inlineStr">
        <is>
          <t>Users can withdraw consent easily</t>
        </is>
      </c>
      <c r="B64" s="36" t="inlineStr">
        <is>
          <t>☐ Compliant ☐ Partial ☐ Non-compliant</t>
        </is>
      </c>
    </row>
    <row r="65" ht="17.5" customHeight="1">
      <c r="A65" s="36" t="inlineStr">
        <is>
          <t>Data Security</t>
        </is>
      </c>
    </row>
    <row r="66" ht="31" customHeight="1">
      <c r="A66" s="36" t="inlineStr">
        <is>
          <t>Appropriate technical safeguards implemented</t>
        </is>
      </c>
      <c r="B66" s="36" t="inlineStr">
        <is>
          <t>☐ Compliant ☐ Partial ☐ Non-compliant</t>
        </is>
      </c>
    </row>
    <row r="67" ht="31" customHeight="1">
      <c r="A67" s="36" t="inlineStr">
        <is>
          <t>Access controls and encryption in place</t>
        </is>
      </c>
      <c r="B67" s="36" t="inlineStr">
        <is>
          <t>☐ Compliant ☐ Partial ☐ Non-compliant</t>
        </is>
      </c>
    </row>
    <row r="68" ht="17.5" customHeight="1">
      <c r="A68" s="36" t="inlineStr">
        <is>
          <t>Regulatory Compliance</t>
        </is>
      </c>
    </row>
    <row r="69" ht="31" customHeight="1">
      <c r="A69" s="36" t="inlineStr">
        <is>
          <t>GDPR compliance (if applicable)</t>
        </is>
      </c>
      <c r="B69" s="36" t="inlineStr">
        <is>
          <t>☐ Compliant ☐ Partial ☐ Non-compliant</t>
        </is>
      </c>
    </row>
    <row r="70" ht="31" customHeight="1">
      <c r="A70" s="36" t="inlineStr">
        <is>
          <t>CCPA compliance (if applicable)</t>
        </is>
      </c>
      <c r="B70" s="36" t="inlineStr">
        <is>
          <t>☐ Compliant ☐ Partial ☐ Non-compliant</t>
        </is>
      </c>
    </row>
    <row r="71" ht="31" customHeight="1">
      <c r="A71" s="36" t="inlineStr">
        <is>
          <t>Industry-specific regulations addressed</t>
        </is>
      </c>
      <c r="B71" s="36" t="inlineStr">
        <is>
          <t>☐ Compliant ☐ Partial ☐ Non-compliant</t>
        </is>
      </c>
    </row>
    <row r="72" ht="17.5" customHeight="1">
      <c r="A72" s="36" t="inlineStr">
        <is>
          <t>4. Accountability and Responsibility</t>
        </is>
      </c>
    </row>
    <row r="73" ht="31" customHeight="1">
      <c r="A73" s="36" t="inlineStr">
        <is>
          <t>Establish clear accountability for AI decisions and outcomes</t>
        </is>
      </c>
    </row>
    <row r="74" ht="17.5" customHeight="1">
      <c r="A74" s="36" t="inlineStr">
        <is>
          <t>Accountability Element</t>
        </is>
      </c>
      <c r="B74" s="36" t="inlineStr">
        <is>
          <t>Owner</t>
        </is>
      </c>
      <c r="C74" s="36" t="inlineStr">
        <is>
          <t>Contact Info</t>
        </is>
      </c>
      <c r="D74" s="36" t="inlineStr">
        <is>
          <t>Approval</t>
        </is>
      </c>
    </row>
    <row r="75" ht="17.5" customHeight="1">
      <c r="A75" s="36" t="inlineStr">
        <is>
          <t>Decision Authority</t>
        </is>
      </c>
    </row>
    <row r="76" ht="17.5" customHeight="1">
      <c r="A76" s="36" t="inlineStr">
        <is>
          <t>Who has final authority over AI decisions?</t>
        </is>
      </c>
      <c r="B76" s="36" t="inlineStr"/>
      <c r="C76" s="36" t="inlineStr"/>
      <c r="D76" s="36" t="inlineStr">
        <is>
          <t>☐ Defined</t>
        </is>
      </c>
    </row>
    <row r="77" ht="17.5" customHeight="1">
      <c r="A77" s="36" t="inlineStr">
        <is>
          <t>Who can override AI recommendations?</t>
        </is>
      </c>
      <c r="B77" s="36" t="inlineStr"/>
      <c r="C77" s="36" t="inlineStr"/>
      <c r="D77" s="36" t="inlineStr">
        <is>
          <t>☐ Defined</t>
        </is>
      </c>
    </row>
    <row r="78" ht="17.5" customHeight="1">
      <c r="A78" s="36" t="inlineStr">
        <is>
          <t>Responsibility Assignment</t>
        </is>
      </c>
    </row>
    <row r="79" ht="17.5" customHeight="1">
      <c r="A79" s="36" t="inlineStr">
        <is>
          <t>System development responsibility</t>
        </is>
      </c>
      <c r="B79" s="36" t="inlineStr"/>
      <c r="C79" s="36" t="inlineStr"/>
      <c r="D79" s="36" t="inlineStr">
        <is>
          <t>☐ Assigned</t>
        </is>
      </c>
    </row>
    <row r="80" ht="17.5" customHeight="1">
      <c r="A80" s="36" t="inlineStr">
        <is>
          <t>Ongoing maintenance responsibility</t>
        </is>
      </c>
      <c r="B80" s="36" t="inlineStr"/>
      <c r="C80" s="36" t="inlineStr"/>
      <c r="D80" s="36" t="inlineStr">
        <is>
          <t>☐ Assigned</t>
        </is>
      </c>
    </row>
    <row r="81" ht="17.5" customHeight="1">
      <c r="A81" s="36" t="inlineStr">
        <is>
          <t>Incident response responsibility</t>
        </is>
      </c>
      <c r="B81" s="36" t="inlineStr"/>
      <c r="C81" s="36" t="inlineStr"/>
      <c r="D81" s="36" t="inlineStr">
        <is>
          <t>☐ Assigned</t>
        </is>
      </c>
    </row>
    <row r="82" ht="17.5" customHeight="1">
      <c r="A82" s="36" t="inlineStr">
        <is>
          <t>Audit and Review</t>
        </is>
      </c>
    </row>
    <row r="83" ht="17.5" customHeight="1">
      <c r="A83" s="36" t="inlineStr">
        <is>
          <t>Regular audit schedule defined</t>
        </is>
      </c>
      <c r="B83" s="36" t="inlineStr"/>
      <c r="C83" s="36" t="inlineStr"/>
      <c r="D83" s="36" t="inlineStr">
        <is>
          <t>☐ Scheduled</t>
        </is>
      </c>
    </row>
    <row r="84" ht="17.5" customHeight="1">
      <c r="A84" s="36" t="inlineStr">
        <is>
          <t>Review process documented</t>
        </is>
      </c>
      <c r="B84" s="36" t="inlineStr"/>
      <c r="C84" s="36" t="inlineStr"/>
      <c r="D84" s="36" t="inlineStr">
        <is>
          <t>☐ Documented</t>
        </is>
      </c>
    </row>
    <row r="85" ht="17.5" customHeight="1">
      <c r="A85" s="36" t="inlineStr">
        <is>
          <t>C. Implementation Governance Checklist</t>
        </is>
      </c>
    </row>
    <row r="86" ht="17.5" customHeight="1">
      <c r="A86" s="36" t="inlineStr">
        <is>
          <t>1. Risk Assessment and Management</t>
        </is>
      </c>
    </row>
    <row r="87" ht="17.5" customHeight="1">
      <c r="A87" s="36" t="inlineStr">
        <is>
          <t>High-Risk Scenario Evaluation</t>
        </is>
      </c>
    </row>
    <row r="88" ht="17.5" customHeight="1">
      <c r="A88" s="36" t="inlineStr">
        <is>
          <t>Check all that apply and provide mitigation strategies</t>
        </is>
      </c>
    </row>
    <row r="89" ht="17.5" customHeight="1">
      <c r="A89" s="36" t="inlineStr">
        <is>
          <t>Risk Scenario</t>
        </is>
      </c>
      <c r="B89" s="36" t="inlineStr">
        <is>
          <t>Applicable</t>
        </is>
      </c>
      <c r="C89" s="36" t="inlineStr">
        <is>
          <t>Likelihood</t>
        </is>
      </c>
      <c r="D89" s="36" t="inlineStr">
        <is>
          <t>Impact</t>
        </is>
      </c>
      <c r="E89" s="36" t="inlineStr">
        <is>
          <t>Mitigation Strategy</t>
        </is>
      </c>
    </row>
    <row r="90" ht="17.5" customHeight="1">
      <c r="A90" s="36" t="inlineStr">
        <is>
          <t>Automated Decision-Making</t>
        </is>
      </c>
      <c r="B90" s="36" t="inlineStr">
        <is>
          <t>☐</t>
        </is>
      </c>
      <c r="C90" s="36" t="inlineStr">
        <is>
          <t>☐ Low ☐ Med ☐ High</t>
        </is>
      </c>
      <c r="D90" s="36" t="inlineStr">
        <is>
          <t>☐ Low ☐ Med ☐ High</t>
        </is>
      </c>
    </row>
    <row r="91" ht="17.5" customHeight="1">
      <c r="A91" s="36" t="inlineStr">
        <is>
          <t>Decisions significantly affecting individuals</t>
        </is>
      </c>
    </row>
    <row r="92" ht="17.5" customHeight="1">
      <c r="A92" s="36" t="inlineStr">
        <is>
          <t>Sensitive Data Processing</t>
        </is>
      </c>
      <c r="B92" s="36" t="inlineStr">
        <is>
          <t>☐</t>
        </is>
      </c>
      <c r="C92" s="36" t="inlineStr">
        <is>
          <t>☐ Low ☐ Med ☐ High</t>
        </is>
      </c>
      <c r="D92" s="36" t="inlineStr">
        <is>
          <t>☐ Low ☐ Med ☐ High</t>
        </is>
      </c>
    </row>
    <row r="93" ht="17.5" customHeight="1">
      <c r="A93" s="36" t="inlineStr">
        <is>
          <t>Processing personal or confidential data</t>
        </is>
      </c>
    </row>
    <row r="94" ht="17.5" customHeight="1">
      <c r="A94" s="36" t="inlineStr">
        <is>
          <t>Safety-Critical Applications</t>
        </is>
      </c>
      <c r="B94" s="36" t="inlineStr">
        <is>
          <t>☐</t>
        </is>
      </c>
      <c r="C94" s="36" t="inlineStr">
        <is>
          <t>☐ Low ☐ Med ☐ High</t>
        </is>
      </c>
      <c r="D94" s="36" t="inlineStr">
        <is>
          <t>☐ Low ☐ Med ☐ High</t>
        </is>
      </c>
    </row>
    <row r="95" ht="17.5" customHeight="1">
      <c r="A95" s="36" t="inlineStr">
        <is>
          <t>Potential for physical or financial harm</t>
        </is>
      </c>
    </row>
    <row r="96" ht="17.5" customHeight="1">
      <c r="A96" s="36" t="inlineStr">
        <is>
          <t>Public-Facing Systems</t>
        </is>
      </c>
      <c r="B96" s="36" t="inlineStr">
        <is>
          <t>☐</t>
        </is>
      </c>
      <c r="C96" s="36" t="inlineStr">
        <is>
          <t>☐ Low ☐ Med ☐ High</t>
        </is>
      </c>
      <c r="D96" s="36" t="inlineStr">
        <is>
          <t>☐ Low ☐ Med ☐ High</t>
        </is>
      </c>
    </row>
    <row r="97" ht="17.5" customHeight="1">
      <c r="A97" s="36" t="inlineStr">
        <is>
          <t>External customer or public interaction</t>
        </is>
      </c>
    </row>
    <row r="98" ht="17.5" customHeight="1">
      <c r="A98" s="36" t="inlineStr">
        <is>
          <t>2. Human Oversight Requirements</t>
        </is>
      </c>
    </row>
    <row r="99" ht="17.5" customHeight="1">
      <c r="A99" s="36" t="inlineStr">
        <is>
          <t>Oversight Level</t>
        </is>
      </c>
      <c r="B99" s="36" t="inlineStr">
        <is>
          <t>Requirement</t>
        </is>
      </c>
      <c r="C99" s="36" t="inlineStr">
        <is>
          <t>Implementation Status</t>
        </is>
      </c>
    </row>
    <row r="100" ht="17.5" customHeight="1">
      <c r="A100" s="36" t="inlineStr">
        <is>
          <t>Human-in-the-Loop</t>
        </is>
      </c>
    </row>
    <row r="101" ht="17.5" customHeight="1">
      <c r="A101" s="36" t="inlineStr">
        <is>
          <t>Human approval required for each decision</t>
        </is>
      </c>
      <c r="B101" s="36" t="inlineStr">
        <is>
          <t>☐ Required ☐ Not Required</t>
        </is>
      </c>
      <c r="C101" s="36" t="inlineStr">
        <is>
          <t>☐ Implemented ☐ Planned ☐ N/A</t>
        </is>
      </c>
    </row>
    <row r="102" ht="17.5" customHeight="1">
      <c r="A102" s="36" t="inlineStr">
        <is>
          <t>Human-on-the-Loop</t>
        </is>
      </c>
    </row>
    <row r="103" ht="17.5" customHeight="1">
      <c r="A103" s="36" t="inlineStr">
        <is>
          <t>Human monitoring with ability to intervene</t>
        </is>
      </c>
      <c r="B103" s="36" t="inlineStr">
        <is>
          <t>☐ Required ☐ Not Required</t>
        </is>
      </c>
      <c r="C103" s="36" t="inlineStr">
        <is>
          <t>☐ Implemented ☐ Planned ☐ N/A</t>
        </is>
      </c>
    </row>
    <row r="104" ht="17.5" customHeight="1">
      <c r="A104" s="36" t="inlineStr">
        <is>
          <t>Human-in-Command</t>
        </is>
      </c>
    </row>
    <row r="105" ht="17.5" customHeight="1">
      <c r="A105" s="36" t="inlineStr">
        <is>
          <t>Human has final authority and responsibility</t>
        </is>
      </c>
      <c r="B105" s="36" t="inlineStr">
        <is>
          <t>☐ Required ☐ Not Required</t>
        </is>
      </c>
      <c r="C105" s="36" t="inlineStr">
        <is>
          <t>☐ Implemented ☐ Planned ☐ N/A</t>
        </is>
      </c>
    </row>
    <row r="106" ht="17.5" customHeight="1">
      <c r="A106" s="36" t="inlineStr">
        <is>
          <t>3. Testing and Validation</t>
        </is>
      </c>
    </row>
    <row r="107" ht="17.5" customHeight="1">
      <c r="A107" s="36" t="inlineStr">
        <is>
          <t>Testing Phase</t>
        </is>
      </c>
      <c r="B107" s="36" t="inlineStr">
        <is>
          <t>Status</t>
        </is>
      </c>
      <c r="C107" s="36" t="inlineStr">
        <is>
          <t>Results</t>
        </is>
      </c>
      <c r="D107" s="36" t="inlineStr">
        <is>
          <t>Action Required</t>
        </is>
      </c>
    </row>
    <row r="108" ht="31" customHeight="1">
      <c r="A108" s="36" t="inlineStr">
        <is>
          <t>Bias Testing</t>
        </is>
      </c>
      <c r="B108" s="36" t="inlineStr">
        <is>
          <t>☐ Complete ☐ In Progress ☐ Planned</t>
        </is>
      </c>
    </row>
    <row r="109" ht="17.5" customHeight="1">
      <c r="A109" s="36" t="inlineStr">
        <is>
          <t>- Demographic group performance analysis</t>
        </is>
      </c>
    </row>
    <row r="110" ht="31" customHeight="1">
      <c r="A110" s="36" t="inlineStr">
        <is>
          <t>Stress Testing</t>
        </is>
      </c>
      <c r="B110" s="36" t="inlineStr">
        <is>
          <t>☐ Complete ☐ In Progress ☐ Planned</t>
        </is>
      </c>
    </row>
    <row r="111" ht="17.5" customHeight="1">
      <c r="A111" s="36" t="inlineStr">
        <is>
          <t>- Edge case and adversarial input testing</t>
        </is>
      </c>
    </row>
    <row r="112" ht="31" customHeight="1">
      <c r="A112" s="36" t="inlineStr">
        <is>
          <t>Ethical Review</t>
        </is>
      </c>
      <c r="B112" s="36" t="inlineStr">
        <is>
          <t>☐ Complete ☐ In Progress ☐ Planned</t>
        </is>
      </c>
    </row>
    <row r="113" ht="17.5" customHeight="1">
      <c r="A113" s="36" t="inlineStr">
        <is>
          <t>- Ethics committee or external review</t>
        </is>
      </c>
    </row>
    <row r="114" ht="31" customHeight="1">
      <c r="A114" s="36" t="inlineStr">
        <is>
          <t>User Acceptance Testing</t>
        </is>
      </c>
      <c r="B114" s="36" t="inlineStr">
        <is>
          <t>☐ Complete ☐ In Progress ☐ Planned</t>
        </is>
      </c>
    </row>
    <row r="115" ht="17.5" customHeight="1">
      <c r="A115" s="36" t="inlineStr">
        <is>
          <t>- Stakeholder feedback and approval</t>
        </is>
      </c>
    </row>
    <row r="116" ht="17.5" customHeight="1">
      <c r="A116" s="36" t="inlineStr">
        <is>
          <t>D. Deployment Ethics Checklist</t>
        </is>
      </c>
    </row>
    <row r="117" ht="17.5" customHeight="1">
      <c r="A117" s="36" t="inlineStr">
        <is>
          <t>1. Launch Readiness Assessment</t>
        </is>
      </c>
    </row>
    <row r="118" ht="17.5" customHeight="1">
      <c r="A118" s="36" t="inlineStr">
        <is>
          <t>Readiness Criteria</t>
        </is>
      </c>
      <c r="B118" s="36" t="inlineStr">
        <is>
          <t>Status</t>
        </is>
      </c>
      <c r="C118" s="36" t="inlineStr">
        <is>
          <t>Comments</t>
        </is>
      </c>
    </row>
    <row r="119" ht="17.5" customHeight="1">
      <c r="A119" s="36" t="inlineStr">
        <is>
          <t>Ethical approval obtained</t>
        </is>
      </c>
      <c r="B119" s="36" t="inlineStr">
        <is>
          <t>☐ &amp;check; ☐ Pending ☐ &amp;cross;</t>
        </is>
      </c>
    </row>
    <row r="120" ht="17.5" customHeight="1">
      <c r="A120" s="36" t="inlineStr">
        <is>
          <t>Risk mitigation plans implemented</t>
        </is>
      </c>
      <c r="B120" s="36" t="inlineStr">
        <is>
          <t>☐ &amp;check; ☐ Pending ☐ &amp;cross;</t>
        </is>
      </c>
    </row>
    <row r="121" ht="17.5" customHeight="1">
      <c r="A121" s="36" t="inlineStr">
        <is>
          <t>Monitoring systems activated</t>
        </is>
      </c>
      <c r="B121" s="36" t="inlineStr">
        <is>
          <t>☐ &amp;check; ☐ Pending ☐ &amp;cross;</t>
        </is>
      </c>
    </row>
    <row r="122" ht="17.5" customHeight="1">
      <c r="A122" s="36" t="inlineStr">
        <is>
          <t>Incident response plan ready</t>
        </is>
      </c>
      <c r="B122" s="36" t="inlineStr">
        <is>
          <t>☐ &amp;check; ☐ Pending ☐ &amp;cross;</t>
        </is>
      </c>
    </row>
    <row r="123" ht="17.5" customHeight="1">
      <c r="A123" s="36" t="inlineStr">
        <is>
          <t>Staff training completed</t>
        </is>
      </c>
      <c r="B123" s="36" t="inlineStr">
        <is>
          <t>☐ &amp;check; ☐ Pending ☐ &amp;cross;</t>
        </is>
      </c>
    </row>
    <row r="124" ht="17.5" customHeight="1">
      <c r="A124" s="36" t="inlineStr">
        <is>
          <t>User communication prepared</t>
        </is>
      </c>
      <c r="B124" s="36" t="inlineStr">
        <is>
          <t>☐ &amp;check; ☐ Pending ☐ &amp;cross;</t>
        </is>
      </c>
    </row>
    <row r="125" ht="17.5" customHeight="1">
      <c r="A125" s="36" t="inlineStr">
        <is>
          <t>2. Communication and Disclosure</t>
        </is>
      </c>
    </row>
    <row r="126" ht="17.5" customHeight="1">
      <c r="A126" s="36" t="inlineStr">
        <is>
          <t>Internal Communication</t>
        </is>
      </c>
    </row>
    <row r="127" ht="17.5" customHeight="1">
      <c r="A127" s="36" t="inlineStr">
        <is>
          <t>Stakeholder</t>
        </is>
      </c>
      <c r="B127" s="36" t="inlineStr">
        <is>
          <t>Information Shared</t>
        </is>
      </c>
      <c r="C127" s="36" t="inlineStr">
        <is>
          <t>Communication Method</t>
        </is>
      </c>
      <c r="D127" s="36" t="inlineStr">
        <is>
          <t>Date</t>
        </is>
      </c>
    </row>
    <row r="128" ht="17.5" customHeight="1">
      <c r="A128" s="36" t="inlineStr">
        <is>
          <t>Employees</t>
        </is>
      </c>
    </row>
    <row r="129" ht="17.5" customHeight="1">
      <c r="A129" s="36" t="inlineStr">
        <is>
          <t>Management</t>
        </is>
      </c>
    </row>
    <row r="130" ht="17.5" customHeight="1">
      <c r="A130" s="36" t="inlineStr">
        <is>
          <t>Legal/Compliance</t>
        </is>
      </c>
    </row>
    <row r="131" ht="17.5" customHeight="1">
      <c r="A131" s="36" t="inlineStr">
        <is>
          <t>Customer Service</t>
        </is>
      </c>
    </row>
    <row r="132" ht="17.5" customHeight="1">
      <c r="A132" s="36" t="inlineStr">
        <is>
          <t>External Communication</t>
        </is>
      </c>
    </row>
    <row r="133" ht="17.5" customHeight="1">
      <c r="A133" s="36" t="inlineStr">
        <is>
          <t>Stakeholder</t>
        </is>
      </c>
      <c r="B133" s="36" t="inlineStr">
        <is>
          <t>Information Shared</t>
        </is>
      </c>
      <c r="C133" s="36" t="inlineStr">
        <is>
          <t>Communication Method</t>
        </is>
      </c>
      <c r="D133" s="36" t="inlineStr">
        <is>
          <t>Date</t>
        </is>
      </c>
    </row>
    <row r="134" ht="17.5" customHeight="1">
      <c r="A134" s="36" t="inlineStr">
        <is>
          <t>Customers</t>
        </is>
      </c>
    </row>
    <row r="135" ht="17.5" customHeight="1">
      <c r="A135" s="36" t="inlineStr">
        <is>
          <t>Partners</t>
        </is>
      </c>
    </row>
    <row r="136" ht="17.5" customHeight="1">
      <c r="A136" s="36" t="inlineStr">
        <is>
          <t>Regulatory Bodies</t>
        </is>
      </c>
    </row>
    <row r="137" ht="17.5" customHeight="1">
      <c r="A137" s="36" t="inlineStr">
        <is>
          <t>Media/Public</t>
        </is>
      </c>
    </row>
    <row r="138" ht="17.5" customHeight="1">
      <c r="A138" s="36" t="inlineStr">
        <is>
          <t>E. Ongoing Monitoring and Review</t>
        </is>
      </c>
    </row>
    <row r="139" ht="17.5" customHeight="1">
      <c r="A139" s="36" t="inlineStr">
        <is>
          <t>1. Continuous Ethical Monitoring</t>
        </is>
      </c>
    </row>
    <row r="140" ht="17.5" customHeight="1">
      <c r="A140" s="36" t="inlineStr">
        <is>
          <t>Monthly Review Checklist</t>
        </is>
      </c>
    </row>
    <row r="141" ht="17.5" customHeight="1">
      <c r="A141" s="36" t="inlineStr">
        <is>
          <t>Monitoring Area</t>
        </is>
      </c>
      <c r="B141" s="36" t="inlineStr">
        <is>
          <t>Metric</t>
        </is>
      </c>
      <c r="C141" s="36" t="inlineStr">
        <is>
          <t>Target</t>
        </is>
      </c>
      <c r="D141" s="36" t="inlineStr">
        <is>
          <t>Current</t>
        </is>
      </c>
      <c r="E141" s="36" t="inlineStr">
        <is>
          <t>Status</t>
        </is>
      </c>
    </row>
    <row r="142" ht="17.5" customHeight="1">
      <c r="A142" s="36" t="inlineStr">
        <is>
          <t>Fairness Metrics</t>
        </is>
      </c>
    </row>
    <row r="143" ht="17.5" customHeight="1">
      <c r="A143" s="36" t="inlineStr">
        <is>
          <t>Demographic parity</t>
        </is>
      </c>
      <c r="B143" s="36" t="inlineStr">
        <is>
          <t>Equal outcomes</t>
        </is>
      </c>
      <c r="C143" s="36" t="inlineStr">
        <is>
          <t>±5%</t>
        </is>
      </c>
      <c r="D143" s="36" t="inlineStr">
        <is>
          <t>%</t>
        </is>
      </c>
      <c r="E143" s="36" t="inlineStr">
        <is>
          <t>☐ &amp;check; ☐ ⚠ ☐ &amp;cross;</t>
        </is>
      </c>
    </row>
    <row r="144" ht="17.5" customHeight="1">
      <c r="A144" s="36" t="inlineStr">
        <is>
          <t>Equal opportunity</t>
        </is>
      </c>
      <c r="B144" s="36" t="inlineStr">
        <is>
          <t>TPR equality</t>
        </is>
      </c>
      <c r="C144" s="36" t="inlineStr">
        <is>
          <t>±5%</t>
        </is>
      </c>
      <c r="D144" s="36" t="inlineStr">
        <is>
          <t>%</t>
        </is>
      </c>
      <c r="E144" s="36" t="inlineStr">
        <is>
          <t>☐ &amp;check; ☐ ⚠ ☐ &amp;cross;</t>
        </is>
      </c>
    </row>
    <row r="145" ht="17.5" customHeight="1">
      <c r="A145" s="36" t="inlineStr">
        <is>
          <t>Performance Metrics</t>
        </is>
      </c>
    </row>
    <row r="146" ht="17.5" customHeight="1">
      <c r="A146" s="36" t="inlineStr">
        <is>
          <t>System accuracy</t>
        </is>
      </c>
      <c r="B146" s="36" t="inlineStr">
        <is>
          <t>Overall accuracy</t>
        </is>
      </c>
      <c r="C146" s="36" t="inlineStr">
        <is>
          <t>&gt;95%</t>
        </is>
      </c>
      <c r="D146" s="36" t="inlineStr">
        <is>
          <t>%</t>
        </is>
      </c>
      <c r="E146" s="36" t="inlineStr">
        <is>
          <t>☐ &amp;check; ☐ ⚠ ☐ &amp;cross;</t>
        </is>
      </c>
    </row>
    <row r="147" ht="31" customHeight="1">
      <c r="A147" s="36" t="inlineStr">
        <is>
          <t>False positive rate</t>
        </is>
      </c>
      <c r="B147" s="36" t="inlineStr">
        <is>
          <t>Incorrect positive classifications</t>
        </is>
      </c>
      <c r="C147" s="36" t="inlineStr">
        <is>
          <t>&lt;2%&lt; /td&gt;</t>
        </is>
      </c>
      <c r="D147" s="36" t="inlineStr">
        <is>
          <t>%</t>
        </is>
      </c>
      <c r="E147" s="36" t="inlineStr">
        <is>
          <t>☐ &amp;check; ☐ ⚠ ☐ &amp;cross;</t>
        </is>
      </c>
    </row>
    <row r="148" ht="17.5" customHeight="1">
      <c r="A148" s="36" t="inlineStr">
        <is>
          <t>User Satisfaction</t>
        </is>
      </c>
    </row>
    <row r="149" ht="17.5" customHeight="1">
      <c r="A149" s="36" t="inlineStr">
        <is>
          <t>User feedback score</t>
        </is>
      </c>
      <c r="B149" s="36" t="inlineStr">
        <is>
          <t>Average satisfaction</t>
        </is>
      </c>
      <c r="C149" s="36" t="inlineStr">
        <is>
          <t>&gt;4.0/5</t>
        </is>
      </c>
      <c r="D149" s="36" t="inlineStr">
        <is>
          <t>/5</t>
        </is>
      </c>
      <c r="E149" s="36" t="inlineStr">
        <is>
          <t>☐ &amp;check; ☐ ⚠ ☐ &amp;cross;</t>
        </is>
      </c>
    </row>
    <row r="150" ht="17.5" customHeight="1">
      <c r="A150" s="36" t="inlineStr">
        <is>
          <t>Complaint rate</t>
        </is>
      </c>
      <c r="B150" s="36" t="inlineStr">
        <is>
          <t>User complaints</t>
        </is>
      </c>
      <c r="C150" s="36" t="inlineStr">
        <is>
          <t>&lt;1%&lt; /td&gt;</t>
        </is>
      </c>
      <c r="D150" s="36" t="inlineStr">
        <is>
          <t>%</t>
        </is>
      </c>
      <c r="E150" s="36" t="inlineStr">
        <is>
          <t>☐ &amp;check; ☐ ⚠ ☐ &amp;cross;</t>
        </is>
      </c>
    </row>
    <row r="151" ht="17.5" customHeight="1">
      <c r="A151" s="36" t="inlineStr">
        <is>
          <t>2. Incident Response Protocol</t>
        </is>
      </c>
    </row>
    <row r="152" ht="17.5" customHeight="1">
      <c r="A152" s="36" t="inlineStr">
        <is>
          <t>Incident Classification</t>
        </is>
      </c>
    </row>
    <row r="153" ht="17.5" customHeight="1">
      <c r="A153" s="36" t="inlineStr">
        <is>
          <t>Severity</t>
        </is>
      </c>
      <c r="B153" s="36" t="inlineStr">
        <is>
          <t>Description</t>
        </is>
      </c>
      <c r="C153" s="36" t="inlineStr">
        <is>
          <t>Response Time</t>
        </is>
      </c>
      <c r="D153" s="36" t="inlineStr">
        <is>
          <t>Approval Required</t>
        </is>
      </c>
    </row>
    <row r="154" ht="31" customHeight="1">
      <c r="A154" s="36" t="inlineStr">
        <is>
          <t>Critical</t>
        </is>
      </c>
      <c r="B154" s="36" t="inlineStr">
        <is>
          <t>Significant harm or legal violation</t>
        </is>
      </c>
      <c r="C154" s="36" t="inlineStr">
        <is>
          <t>4 hours</t>
        </is>
      </c>
      <c r="D154" s="36" t="inlineStr">
        <is>
          <t>C-Suite</t>
        </is>
      </c>
    </row>
    <row r="155" ht="31" customHeight="1">
      <c r="A155" s="36" t="inlineStr">
        <is>
          <t>High</t>
        </is>
      </c>
      <c r="B155" s="36" t="inlineStr">
        <is>
          <t>Potential harm or compliance issue</t>
        </is>
      </c>
      <c r="C155" s="36" t="inlineStr">
        <is>
          <t>24 hours</t>
        </is>
      </c>
      <c r="D155" s="36" t="inlineStr">
        <is>
          <t>Department Head</t>
        </is>
      </c>
    </row>
    <row r="156" ht="17.5" customHeight="1">
      <c r="A156" s="36" t="inlineStr">
        <is>
          <t>Medium</t>
        </is>
      </c>
      <c r="B156" s="36" t="inlineStr">
        <is>
          <t>Performance degradation</t>
        </is>
      </c>
      <c r="C156" s="36" t="inlineStr">
        <is>
          <t>72 hours</t>
        </is>
      </c>
      <c r="D156" s="36" t="inlineStr">
        <is>
          <t>Team Lead</t>
        </is>
      </c>
    </row>
    <row r="157" ht="17.5" customHeight="1">
      <c r="A157" s="36" t="inlineStr">
        <is>
          <t>Low</t>
        </is>
      </c>
      <c r="B157" s="36" t="inlineStr">
        <is>
          <t>Minor issues or improvements</t>
        </is>
      </c>
      <c r="C157" s="36" t="inlineStr">
        <is>
          <t>1 week</t>
        </is>
      </c>
      <c r="D157" s="36" t="inlineStr">
        <is>
          <t>System Owner</t>
        </is>
      </c>
    </row>
    <row r="158" ht="17.5" customHeight="1">
      <c r="A158" s="36" t="inlineStr">
        <is>
          <t>Incident Response Checklist</t>
        </is>
      </c>
    </row>
    <row r="159" ht="17.5" customHeight="1">
      <c r="A159" s="36" t="inlineStr">
        <is>
          <t>When an ethical issue is identified:</t>
        </is>
      </c>
      <c r="B159" s="36" t="inlineStr">
        <is>
          <t xml:space="preserve">☐ </t>
        </is>
      </c>
    </row>
    <row r="160" ht="17.5" customHeight="1">
      <c r="A160" s="36" t="inlineStr">
        <is>
          <t>Immediate Actions (First 4 hours)</t>
        </is>
      </c>
    </row>
    <row r="161" ht="17.5" customHeight="1">
      <c r="A161" s="36" t="inlineStr">
        <is>
          <t>[ ] Incident logged and categorized</t>
        </is>
      </c>
      <c r="B161" s="36" t="inlineStr">
        <is>
          <t xml:space="preserve">☐ </t>
        </is>
      </c>
    </row>
    <row r="162" ht="17.5" customHeight="1">
      <c r="A162" s="36" t="inlineStr">
        <is>
          <t>[ ] Stakeholders notified</t>
        </is>
      </c>
      <c r="B162" s="36" t="inlineStr">
        <is>
          <t xml:space="preserve">☐ </t>
        </is>
      </c>
    </row>
    <row r="163" ht="17.5" customHeight="1">
      <c r="A163" s="36" t="inlineStr">
        <is>
          <t>[ ] System isolated/stopped if necessary</t>
        </is>
      </c>
      <c r="B163" s="36" t="inlineStr">
        <is>
          <t xml:space="preserve">☐ </t>
        </is>
      </c>
    </row>
    <row r="164" ht="17.5" customHeight="1">
      <c r="A164" s="36" t="inlineStr">
        <is>
          <t>[ ] Initial impact assessment completed</t>
        </is>
      </c>
      <c r="B164" s="36" t="inlineStr">
        <is>
          <t xml:space="preserve">☐ </t>
        </is>
      </c>
    </row>
    <row r="165" ht="17.5" customHeight="1">
      <c r="A165" s="36" t="inlineStr">
        <is>
          <t>Short-term Actions (24-72 hours)</t>
        </is>
      </c>
    </row>
    <row r="166" ht="17.5" customHeight="1">
      <c r="A166" s="36" t="inlineStr">
        <is>
          <t>[ ] Root cause analysis initiated</t>
        </is>
      </c>
      <c r="B166" s="36" t="inlineStr">
        <is>
          <t xml:space="preserve">☐ </t>
        </is>
      </c>
    </row>
    <row r="167" ht="17.5" customHeight="1">
      <c r="A167" s="36" t="inlineStr">
        <is>
          <t>[ ] Remediation plan developed</t>
        </is>
      </c>
      <c r="B167" s="36" t="inlineStr">
        <is>
          <t xml:space="preserve">☐ </t>
        </is>
      </c>
    </row>
    <row r="168" ht="17.5" customHeight="1">
      <c r="A168" s="36" t="inlineStr">
        <is>
          <t>[ ] Affected parties identified and contacted</t>
        </is>
      </c>
      <c r="B168" s="36" t="inlineStr">
        <is>
          <t xml:space="preserve">☐ </t>
        </is>
      </c>
    </row>
    <row r="169" ht="17.5" customHeight="1">
      <c r="A169" s="36" t="inlineStr">
        <is>
          <t>[ ] Regulatory reporting (if required)</t>
        </is>
      </c>
      <c r="B169" s="36" t="inlineStr">
        <is>
          <t xml:space="preserve">☐ </t>
        </is>
      </c>
    </row>
    <row r="170" ht="17.5" customHeight="1">
      <c r="A170" s="36" t="inlineStr">
        <is>
          <t>Long-term Actions (1-4 weeks)</t>
        </is>
      </c>
    </row>
    <row r="171" ht="17.5" customHeight="1">
      <c r="A171" s="36" t="inlineStr">
        <is>
          <t>[ ] System corrections implemented</t>
        </is>
      </c>
    </row>
    <row r="172" ht="17.5" customHeight="1">
      <c r="A172" s="36" t="inlineStr">
        <is>
          <t>[ ] Process improvements made</t>
        </is>
      </c>
    </row>
    <row r="173" ht="17.5" customHeight="1">
      <c r="A173" s="36" t="inlineStr">
        <is>
          <t>[ ] Training updated</t>
        </is>
      </c>
    </row>
    <row r="174" ht="17.5" customHeight="1">
      <c r="A174" s="36" t="inlineStr">
        <is>
          <t>[ ] Lessons learned documented</t>
        </is>
      </c>
    </row>
    <row r="175" ht="17.5" customHeight="1">
      <c r="A175" s="36" t="inlineStr">
        <is>
          <t>F. Annual Ethics Review</t>
        </is>
      </c>
    </row>
    <row r="176" ht="17.5" customHeight="1">
      <c r="A176" s="36" t="inlineStr">
        <is>
          <t>1. Comprehensive Annual Assessment</t>
        </is>
      </c>
    </row>
    <row r="177" ht="17.5" customHeight="1">
      <c r="A177" s="36" t="inlineStr">
        <is>
          <t>Assessment Area</t>
        </is>
      </c>
      <c r="B177" s="36" t="inlineStr">
        <is>
          <t>Score (1-5)</t>
        </is>
      </c>
      <c r="C177" s="36" t="inlineStr">
        <is>
          <t>Comments</t>
        </is>
      </c>
      <c r="D177" s="36" t="inlineStr">
        <is>
          <t>Action Plan</t>
        </is>
      </c>
    </row>
    <row r="178" ht="17.5" customHeight="1">
      <c r="A178" s="36" t="inlineStr">
        <is>
          <t>Ethical Compliance</t>
        </is>
      </c>
    </row>
    <row r="179" ht="17.5" customHeight="1">
      <c r="A179" s="36" t="inlineStr">
        <is>
          <t>Policy adherence</t>
        </is>
      </c>
    </row>
    <row r="180" ht="17.5" customHeight="1">
      <c r="A180" s="36" t="inlineStr">
        <is>
          <t>Regulatory compliance</t>
        </is>
      </c>
    </row>
    <row r="181" ht="17.5" customHeight="1">
      <c r="A181" s="36" t="inlineStr">
        <is>
          <t>Stakeholder Impact</t>
        </is>
      </c>
    </row>
    <row r="182" ht="17.5" customHeight="1">
      <c r="A182" s="36" t="inlineStr">
        <is>
          <t>Employee satisfaction</t>
        </is>
      </c>
    </row>
    <row r="183" ht="17.5" customHeight="1">
      <c r="A183" s="36" t="inlineStr">
        <is>
          <t>Customer trust</t>
        </is>
      </c>
    </row>
    <row r="184" ht="17.5" customHeight="1">
      <c r="A184" s="36" t="inlineStr">
        <is>
          <t>System Performance</t>
        </is>
      </c>
    </row>
    <row r="185" ht="17.5" customHeight="1">
      <c r="A185" s="36" t="inlineStr">
        <is>
          <t>Fairness metrics</t>
        </is>
      </c>
    </row>
    <row r="186" ht="17.5" customHeight="1">
      <c r="A186" s="36" t="inlineStr">
        <is>
          <t>Transparency measures</t>
        </is>
      </c>
    </row>
    <row r="187" ht="17.5" customHeight="1">
      <c r="A187" s="36" t="inlineStr">
        <is>
          <t>2. Ethics Committee Review</t>
        </is>
      </c>
    </row>
    <row r="188" ht="31" customHeight="1">
      <c r="A188" s="36" t="inlineStr">
        <is>
          <t>Committee Members:</t>
        </is>
      </c>
      <c r="B188" s="36" t="inlineStr"/>
      <c r="C188" s="36" t="inlineStr">
        <is>
          <t xml:space="preserve"> ☐ Approved ☐ Approved with Conditions ☐ Requires Revision</t>
        </is>
      </c>
    </row>
    <row r="189" ht="31" customHeight="1">
      <c r="A189" s="36" t="inlineStr">
        <is>
          <t xml:space="preserve">Ethics Officer: </t>
        </is>
      </c>
      <c r="B189" s="36" t="inlineStr"/>
      <c r="C189" s="36" t="inlineStr">
        <is>
          <t xml:space="preserve"> ☐ Approved ☐ Approved with Conditions ☐ Requires Revision</t>
        </is>
      </c>
    </row>
    <row r="190" ht="31" customHeight="1">
      <c r="A190" s="36" t="inlineStr">
        <is>
          <t xml:space="preserve">Legal Counsel: </t>
        </is>
      </c>
      <c r="B190" s="36" t="inlineStr"/>
      <c r="C190" s="36" t="inlineStr">
        <is>
          <t xml:space="preserve"> ☐ Approved ☐ Approved with Conditions ☐ Requires Revision</t>
        </is>
      </c>
    </row>
    <row r="191" ht="31" customHeight="1">
      <c r="A191" s="36" t="inlineStr">
        <is>
          <t xml:space="preserve">Technical Lead: </t>
        </is>
      </c>
      <c r="B191" s="36" t="inlineStr"/>
      <c r="C191" s="36" t="inlineStr">
        <is>
          <t xml:space="preserve"> ☐ Approved ☐ Approved with Conditions ☐ Requires Revision</t>
        </is>
      </c>
    </row>
    <row r="192" ht="31" customHeight="1">
      <c r="A192" s="36" t="inlineStr">
        <is>
          <t xml:space="preserve">Business Owner: </t>
        </is>
      </c>
      <c r="B192" s="36" t="inlineStr"/>
      <c r="C192" s="36" t="inlineStr">
        <is>
          <t xml:space="preserve"> ☐ Approved ☐ Approved with Conditions ☐ Requires Revision</t>
        </is>
      </c>
    </row>
    <row r="193" ht="31" customHeight="1">
      <c r="A193" s="36" t="inlineStr">
        <is>
          <t xml:space="preserve">External Expert: </t>
        </is>
      </c>
      <c r="B193" s="36" t="inlineStr"/>
      <c r="C193" s="36" t="inlineStr">
        <is>
          <t xml:space="preserve"> ☐ Approved ☐ Approved with Conditions ☐ Requires Revision</t>
        </is>
      </c>
    </row>
    <row r="194" ht="17.5" customHeight="1">
      <c r="A194" s="36" t="inlineStr">
        <is>
          <t>Review Outcome:</t>
        </is>
      </c>
      <c r="B194" s="36" t="inlineStr"/>
      <c r="C194" s="36" t="inlineStr">
        <is>
          <t>Conditions/Actions Required:</t>
        </is>
      </c>
    </row>
    <row r="195" ht="17.5" customHeight="1">
      <c r="A195" s="36" t="inlineStr">
        <is>
          <t>Next Review Date:</t>
        </is>
      </c>
    </row>
    <row r="196" ht="17.5" customHeight="1">
      <c r="A196" s="36" t="inlineStr">
        <is>
          <t>G. Decision Documentation Template</t>
        </is>
      </c>
    </row>
    <row r="197" ht="17.5" customHeight="1">
      <c r="A197" s="36" t="inlineStr">
        <is>
          <t>Ethical Decision Record</t>
        </is>
      </c>
    </row>
    <row r="198" ht="17.5" customHeight="1">
      <c r="A198" s="36" t="inlineStr">
        <is>
          <t>Decision Date:</t>
        </is>
      </c>
    </row>
    <row r="199" ht="17.5" customHeight="1">
      <c r="A199" s="36" t="inlineStr">
        <is>
          <t>Decision Maker:</t>
        </is>
      </c>
    </row>
    <row r="200" ht="17.5" customHeight="1">
      <c r="A200" s="36" t="inlineStr">
        <is>
          <t>System/Application:</t>
        </is>
      </c>
    </row>
    <row r="201" ht="17.5" customHeight="1">
      <c r="A201" s="36" t="inlineStr">
        <is>
          <t>Decision Context</t>
        </is>
      </c>
    </row>
    <row r="202" ht="17.5" customHeight="1">
      <c r="A202" s="36" t="inlineStr">
        <is>
          <t>Issue/Question:</t>
        </is>
      </c>
    </row>
    <row r="203" ht="17.5" customHeight="1">
      <c r="A203" s="36" t="inlineStr">
        <is>
          <t>Stakeholders Involved:</t>
        </is>
      </c>
    </row>
    <row r="204" ht="17.5" customHeight="1">
      <c r="A204" s="36" t="inlineStr">
        <is>
          <t>Potential Impacts:</t>
        </is>
      </c>
    </row>
    <row r="205" ht="17.5" customHeight="1">
      <c r="A205" s="36" t="inlineStr">
        <is>
          <t>Ethical Analysis</t>
        </is>
      </c>
    </row>
    <row r="206" ht="17.5" customHeight="1">
      <c r="A206" s="36" t="inlineStr">
        <is>
          <t>Principles Considered:</t>
        </is>
      </c>
    </row>
    <row r="207" ht="17.5" customHeight="1">
      <c r="A207" s="36" t="inlineStr">
        <is>
          <t>[ ] Transparency</t>
        </is>
      </c>
    </row>
    <row r="208" ht="17.5" customHeight="1">
      <c r="A208" s="36" t="inlineStr">
        <is>
          <t>[ ] Fairness</t>
        </is>
      </c>
    </row>
    <row r="209" ht="17.5" customHeight="1">
      <c r="A209" s="36" t="inlineStr">
        <is>
          <t>[ ] Privacy</t>
        </is>
      </c>
    </row>
    <row r="210" ht="17.5" customHeight="1">
      <c r="A210" s="36" t="inlineStr">
        <is>
          <t>[ ] Accountability</t>
        </is>
      </c>
    </row>
    <row r="211" ht="17.5" customHeight="1">
      <c r="A211" s="36" t="inlineStr">
        <is>
          <t>[ ] Human Autonomy</t>
        </is>
      </c>
    </row>
    <row r="212" ht="17.5" customHeight="1">
      <c r="A212" s="36" t="inlineStr">
        <is>
          <t>[ ] Non-maleficence</t>
        </is>
      </c>
    </row>
    <row r="213" ht="17.5" customHeight="1">
      <c r="A213" s="36" t="inlineStr">
        <is>
          <t>Risk Assessment:</t>
        </is>
      </c>
    </row>
    <row r="214" ht="17.5" customHeight="1">
      <c r="A214" s="36" t="inlineStr">
        <is>
          <t>High-Risk Areas:</t>
        </is>
      </c>
      <c r="B214" s="36" t="inlineStr">
        <is>
          <t>_</t>
        </is>
      </c>
    </row>
    <row r="215" ht="17.5" customHeight="1">
      <c r="A215" s="36" t="inlineStr">
        <is>
          <t>Mitigation Measures:</t>
        </is>
      </c>
    </row>
    <row r="216" ht="17.5" customHeight="1">
      <c r="A216" s="36" t="inlineStr">
        <is>
          <t>Decision Rationale</t>
        </is>
      </c>
    </row>
    <row r="217" ht="17.5" customHeight="1">
      <c r="A217" s="36" t="inlineStr">
        <is>
          <t>Decision Made:</t>
        </is>
      </c>
    </row>
    <row r="218" ht="17.5" customHeight="1">
      <c r="A218" s="36" t="inlineStr">
        <is>
          <t>Justification:</t>
        </is>
      </c>
    </row>
    <row r="219" ht="17.5" customHeight="1">
      <c r="A219" s="36" t="inlineStr">
        <is>
          <t>Alternative Options Considered:</t>
        </is>
      </c>
    </row>
    <row r="220" ht="17.5" customHeight="1">
      <c r="A220" s="36" t="inlineStr">
        <is>
          <t>Implementation Plan</t>
        </is>
      </c>
    </row>
    <row r="221" ht="17.5" customHeight="1">
      <c r="A221" s="36" t="inlineStr">
        <is>
          <t>Actions Required:</t>
        </is>
      </c>
    </row>
    <row r="222" ht="17.5" customHeight="1">
      <c r="A222" s="36" t="inlineStr">
        <is>
          <t>Timeline:</t>
        </is>
      </c>
    </row>
    <row r="223" ht="17.5" customHeight="1">
      <c r="A223" s="36" t="inlineStr">
        <is>
          <t>Success Metrics:</t>
        </is>
      </c>
    </row>
    <row r="224" ht="17.5" customHeight="1">
      <c r="A224" s="36" t="inlineStr">
        <is>
          <t>Approved by:</t>
        </is>
      </c>
    </row>
    <row r="225" ht="17.5" customHeight="1">
      <c r="A225" s="36" t="inlineStr">
        <is>
          <t>Date:</t>
        </is>
      </c>
    </row>
    <row r="226" ht="17.5" customHeight="1">
      <c r="A226" s="36" t="inlineStr">
        <is>
          <t>Review Date:</t>
        </is>
      </c>
    </row>
    <row r="227" ht="71.5" customHeight="1">
      <c r="A227" s="36" t="inlineStr">
        <is>
          <t>This ethical decision-making checklist should be used for all GenAI implementations and reviewed annually. Regular training on ethical AI principles should be provided to all staff involved in AI development and deployment.</t>
        </is>
      </c>
    </row>
  </sheetData>
  <pageMargins left="0.75" right="0.75" top="1" bottom="1" header="0.5" footer="0.5"/>
  <pageSetup orientation="landscape" fitToWidth="1"/>
</worksheet>
</file>

<file path=xl/worksheets/sheet12.xml><?xml version="1.0" encoding="utf-8"?>
<worksheet xmlns="http://schemas.openxmlformats.org/spreadsheetml/2006/main">
  <sheetPr>
    <tabColor rgb="009A9086"/>
    <outlinePr summaryBelow="1" summaryRight="1"/>
    <pageSetUpPr fitToPage="1"/>
  </sheetPr>
  <dimension ref="A1:F67"/>
  <sheetViews>
    <sheetView showGridLines="1" workbookViewId="0">
      <pane ySplit="1" topLeftCell="A2" activePane="bottomLeft" state="frozen"/>
      <selection pane="bottomLeft" activeCell="A1" sqref="A1"/>
    </sheetView>
  </sheetViews>
  <sheetFormatPr baseColWidth="8" defaultRowHeight="15"/>
  <cols>
    <col width="52" customWidth="1" min="1" max="1"/>
    <col width="30" customWidth="1" min="2" max="2"/>
    <col width="30" customWidth="1" min="3" max="3"/>
    <col width="30" customWidth="1" min="4" max="4"/>
    <col width="30" customWidth="1" min="5" max="5"/>
    <col width="30" customWidth="1" min="6" max="6"/>
    <col width="30" customWidth="1" min="7" max="7"/>
  </cols>
  <sheetData>
    <row r="1" ht="17.5" customHeight="1">
      <c r="A1" s="35" t="inlineStr">
        <is>
          <t>GenAI Change Management Toolkit</t>
        </is>
      </c>
    </row>
    <row r="2" ht="112" customHeight="1">
      <c r="A2" s="36" t="inlineStr">
        <is>
          <t>Overview</t>
        </is>
      </c>
      <c r="B2" s="36" t="inlineStr">
        <is>
          <t xml:space="preserve">This toolkit integrates change management best practices with GenAI adoption, referencing Prosci ADKAR and industry AI guidance. It provides templates, exercises, and communication plans for successful GenAI transformation in an </t>
        </is>
      </c>
    </row>
    <row r="3" ht="17.5" customHeight="1">
      <c r="A3" s="36" t="inlineStr">
        <is>
          <t>Context.</t>
        </is>
      </c>
    </row>
    <row r="4" ht="17.5" customHeight="1">
      <c r="A4" s="36" t="inlineStr">
        <is>
          <t>A. Change Readiness Assessment</t>
        </is>
      </c>
    </row>
    <row r="5" ht="17.5" customHeight="1">
      <c r="A5" s="36" t="inlineStr">
        <is>
          <t>Dimension</t>
        </is>
      </c>
      <c r="B5" s="36" t="inlineStr">
        <is>
          <t>Assessment Question</t>
        </is>
      </c>
      <c r="C5" s="36" t="inlineStr">
        <is>
          <t>Score (1-5)</t>
        </is>
      </c>
      <c r="D5" s="36" t="inlineStr">
        <is>
          <t>Evidence</t>
        </is>
      </c>
      <c r="E5" s="36" t="inlineStr">
        <is>
          <t>Action Plan</t>
        </is>
      </c>
    </row>
    <row r="6" ht="31" customHeight="1">
      <c r="A6" s="36" t="inlineStr">
        <is>
          <t>Awareness</t>
        </is>
      </c>
      <c r="B6" s="36" t="inlineStr">
        <is>
          <t>Do employees understand why GenAI is critical?</t>
        </is>
      </c>
    </row>
    <row r="7" ht="31" customHeight="1">
      <c r="A7" s="36" t="inlineStr">
        <is>
          <t>Desire</t>
        </is>
      </c>
      <c r="B7" s="36" t="inlineStr">
        <is>
          <t>Are employees motivated to adopt GenAI tools?</t>
        </is>
      </c>
    </row>
    <row r="8" ht="31" customHeight="1">
      <c r="A8" s="36" t="inlineStr">
        <is>
          <t>Knowledge</t>
        </is>
      </c>
      <c r="B8" s="36" t="inlineStr">
        <is>
          <t>Do employees know how GenAI will change their roles?</t>
        </is>
      </c>
    </row>
    <row r="9" ht="31" customHeight="1">
      <c r="A9" s="36" t="inlineStr">
        <is>
          <t>Ability</t>
        </is>
      </c>
      <c r="B9" s="36" t="inlineStr">
        <is>
          <t>Do employees have the skills to use AI tools?</t>
        </is>
      </c>
    </row>
    <row r="10" ht="31" customHeight="1">
      <c r="A10" s="36" t="inlineStr">
        <is>
          <t>Reinforcement</t>
        </is>
      </c>
      <c r="B10" s="36" t="inlineStr">
        <is>
          <t>Are mechanisms in place to sustain GenAI usage?</t>
        </is>
      </c>
    </row>
    <row r="11" ht="44.5" customHeight="1">
      <c r="A11" s="36" t="inlineStr">
        <is>
          <t>Sample Apparel Scores:</t>
        </is>
      </c>
      <c r="B11" s="36" t="inlineStr">
        <is>
          <t xml:space="preserve"> Awareness (3), Desire (2), Knowledge (2), Ability (1), Reinforcement (1)</t>
        </is>
      </c>
    </row>
    <row r="12" ht="17.5" customHeight="1">
      <c r="A12" s="36" t="inlineStr">
        <is>
          <t>Priority Action:</t>
        </is>
      </c>
    </row>
    <row r="13" ht="31" customHeight="1">
      <c r="A13" s="36" t="inlineStr">
        <is>
          <t xml:space="preserve"> Launch communication campaign &amp; intensive “AI Stylist Academy” training.</t>
        </is>
      </c>
    </row>
    <row r="14" ht="17.5" customHeight="1">
      <c r="A14" s="36" t="inlineStr">
        <is>
          <t>B. Stakeholder Analysis &amp; Engagement Plan</t>
        </is>
      </c>
    </row>
    <row r="15" ht="17.5" customHeight="1">
      <c r="A15" s="36" t="inlineStr">
        <is>
          <t>Stakeholder Group</t>
        </is>
      </c>
      <c r="B15" s="36" t="inlineStr">
        <is>
          <t>Impact Level (H/M/L)</t>
        </is>
      </c>
      <c r="C15" s="36" t="inlineStr">
        <is>
          <t>Influence (H/M/L)</t>
        </is>
      </c>
      <c r="D15" s="36" t="inlineStr">
        <is>
          <t>Key Concerns</t>
        </is>
      </c>
      <c r="E15" s="36" t="inlineStr">
        <is>
          <t>Engagement Strategy</t>
        </is>
      </c>
      <c r="F15" s="36" t="inlineStr">
        <is>
          <t>Owner</t>
        </is>
      </c>
    </row>
    <row r="16" ht="17.5" customHeight="1">
      <c r="A16" s="36" t="inlineStr">
        <is>
          <t>Store Associates</t>
        </is>
      </c>
      <c r="B16" s="36" t="inlineStr">
        <is>
          <t>H</t>
        </is>
      </c>
      <c r="C16" s="36" t="inlineStr">
        <is>
          <t>M</t>
        </is>
      </c>
      <c r="D16" s="36" t="inlineStr">
        <is>
          <t>Job displacement, training</t>
        </is>
      </c>
      <c r="E16" s="36" t="inlineStr">
        <is>
          <t>In-store demos, training rewards</t>
        </is>
      </c>
      <c r="F16" s="36" t="inlineStr">
        <is>
          <t>Change Lead</t>
        </is>
      </c>
    </row>
    <row r="17" ht="17.5" customHeight="1">
      <c r="A17" s="36" t="inlineStr">
        <is>
          <t>Merchandising Team</t>
        </is>
      </c>
      <c r="B17" s="36" t="inlineStr">
        <is>
          <t>H</t>
        </is>
      </c>
      <c r="C17" s="36" t="inlineStr">
        <is>
          <t>H</t>
        </is>
      </c>
      <c r="D17" s="36" t="inlineStr">
        <is>
          <t>Data accuracy, workflow change</t>
        </is>
      </c>
      <c r="E17" s="36" t="inlineStr">
        <is>
          <t>Pilot involvement, co-design sessions</t>
        </is>
      </c>
      <c r="F17" s="36" t="inlineStr">
        <is>
          <t>CDO</t>
        </is>
      </c>
    </row>
    <row r="18" ht="17.5" customHeight="1">
      <c r="A18" s="36" t="inlineStr">
        <is>
          <t>E-Commerce Team</t>
        </is>
      </c>
      <c r="B18" s="36" t="inlineStr">
        <is>
          <t>H</t>
        </is>
      </c>
      <c r="C18" s="36" t="inlineStr">
        <is>
          <t>H</t>
        </is>
      </c>
      <c r="D18" s="36" t="inlineStr">
        <is>
          <t>Integration with current CMS</t>
        </is>
      </c>
      <c r="E18" s="36" t="inlineStr">
        <is>
          <t>Joint sprint planning</t>
        </is>
      </c>
      <c r="F18" s="36" t="inlineStr">
        <is>
          <t>Product Owner</t>
        </is>
      </c>
    </row>
    <row r="19" ht="17.5" customHeight="1">
      <c r="A19" s="36" t="inlineStr">
        <is>
          <t>Warehouse Ops</t>
        </is>
      </c>
      <c r="B19" s="36" t="inlineStr">
        <is>
          <t>M</t>
        </is>
      </c>
      <c r="C19" s="36" t="inlineStr">
        <is>
          <t>M</t>
        </is>
      </c>
      <c r="D19" s="36" t="inlineStr">
        <is>
          <t>Forecasting changes</t>
        </is>
      </c>
      <c r="E19" s="36" t="inlineStr">
        <is>
          <t>Town halls, dashboards</t>
        </is>
      </c>
      <c r="F19" s="36" t="inlineStr">
        <is>
          <t>Ops Director</t>
        </is>
      </c>
    </row>
    <row r="20" ht="17.5" customHeight="1">
      <c r="A20" s="36" t="inlineStr">
        <is>
          <t>Executive Board</t>
        </is>
      </c>
      <c r="B20" s="36" t="inlineStr">
        <is>
          <t>H</t>
        </is>
      </c>
      <c r="C20" s="36" t="inlineStr">
        <is>
          <t>H</t>
        </is>
      </c>
      <c r="D20" s="36" t="inlineStr">
        <is>
          <t>ROI, risk management</t>
        </is>
      </c>
      <c r="E20" s="36" t="inlineStr">
        <is>
          <t>Monthly scorecards</t>
        </is>
      </c>
      <c r="F20" s="36" t="inlineStr">
        <is>
          <t>CIO</t>
        </is>
      </c>
    </row>
    <row r="21" ht="17.5" customHeight="1">
      <c r="A21" s="36" t="inlineStr">
        <is>
          <t>C. Communication Plan Template</t>
        </is>
      </c>
    </row>
    <row r="22" ht="17.5" customHeight="1">
      <c r="A22" s="36" t="inlineStr">
        <is>
          <t>Audience</t>
        </is>
      </c>
      <c r="B22" s="36" t="inlineStr">
        <is>
          <t>Message</t>
        </is>
      </c>
      <c r="C22" s="36" t="inlineStr">
        <is>
          <t>Channel</t>
        </is>
      </c>
      <c r="D22" s="36" t="inlineStr">
        <is>
          <t>Timing</t>
        </is>
      </c>
      <c r="E22" s="36" t="inlineStr">
        <is>
          <t>Owner</t>
        </is>
      </c>
    </row>
    <row r="23" ht="17.5" customHeight="1">
      <c r="A23" s="36" t="inlineStr">
        <is>
          <t>All Employees</t>
        </is>
      </c>
      <c r="B23" s="36" t="inlineStr">
        <is>
          <t>GenAI Vision &amp; Benefits</t>
        </is>
      </c>
      <c r="C23" s="36" t="inlineStr">
        <is>
          <t>CEO Video</t>
        </is>
      </c>
      <c r="D23" s="36" t="inlineStr">
        <is>
          <t>Week 1</t>
        </is>
      </c>
      <c r="E23" s="36" t="inlineStr">
        <is>
          <t>CEO</t>
        </is>
      </c>
    </row>
    <row r="24" ht="31" customHeight="1">
      <c r="A24" s="36" t="inlineStr">
        <is>
          <t>Store Managers</t>
        </is>
      </c>
      <c r="B24" s="36" t="inlineStr">
        <is>
          <t>Pilot overview &amp; training schedule</t>
        </is>
      </c>
      <c r="C24" s="36" t="inlineStr">
        <is>
          <t>Webinar</t>
        </is>
      </c>
      <c r="D24" s="36" t="inlineStr">
        <is>
          <t>Week 2</t>
        </is>
      </c>
      <c r="E24" s="36" t="inlineStr">
        <is>
          <t>HR L&amp;D</t>
        </is>
      </c>
    </row>
    <row r="25" ht="31" customHeight="1">
      <c r="A25" s="36" t="inlineStr">
        <is>
          <t>Merchandising Analysts</t>
        </is>
      </c>
      <c r="B25" s="36" t="inlineStr">
        <is>
          <t>Data flow changes &amp; new dashboard</t>
        </is>
      </c>
      <c r="C25" s="36" t="inlineStr">
        <is>
          <t>Workshop</t>
        </is>
      </c>
      <c r="D25" s="36" t="inlineStr">
        <is>
          <t>Week 3</t>
        </is>
      </c>
      <c r="E25" s="36" t="inlineStr">
        <is>
          <t>Data Team</t>
        </is>
      </c>
    </row>
    <row r="26" ht="17.5" customHeight="1">
      <c r="A26" s="36" t="inlineStr">
        <is>
          <t>Customer Service Reps</t>
        </is>
      </c>
      <c r="B26" s="36" t="inlineStr">
        <is>
          <t>AI assistant demo &amp; SOP</t>
        </is>
      </c>
      <c r="C26" s="36" t="inlineStr">
        <is>
          <t>E-learning</t>
        </is>
      </c>
      <c r="D26" s="36" t="inlineStr">
        <is>
          <t>Week 4</t>
        </is>
      </c>
      <c r="E26" s="36" t="inlineStr">
        <is>
          <t>CS Lead</t>
        </is>
      </c>
    </row>
    <row r="27" ht="17.5" customHeight="1">
      <c r="A27" s="36" t="inlineStr">
        <is>
          <t>Suppliers</t>
        </is>
      </c>
      <c r="B27" s="36" t="inlineStr">
        <is>
          <t>Forecast accuracy improvement</t>
        </is>
      </c>
      <c r="C27" s="36" t="inlineStr">
        <is>
          <t>Newsletter</t>
        </is>
      </c>
      <c r="D27" s="36" t="inlineStr">
        <is>
          <t>Week 4</t>
        </is>
      </c>
      <c r="E27" s="36" t="inlineStr">
        <is>
          <t>Supply Chain VP</t>
        </is>
      </c>
    </row>
    <row r="28" ht="17.5" customHeight="1">
      <c r="A28" s="36" t="inlineStr">
        <is>
          <t>D. Training &amp; Upskilling Roadmap</t>
        </is>
      </c>
    </row>
    <row r="29" ht="17.5" customHeight="1">
      <c r="A29" s="36" t="inlineStr">
        <is>
          <t>Role</t>
        </is>
      </c>
      <c r="B29" s="36" t="inlineStr">
        <is>
          <t>Skill Gap</t>
        </is>
      </c>
      <c r="C29" s="36" t="inlineStr">
        <is>
          <t>Training Module</t>
        </is>
      </c>
      <c r="D29" s="36" t="inlineStr">
        <is>
          <t>Duration</t>
        </is>
      </c>
      <c r="E29" s="36" t="inlineStr">
        <is>
          <t>Certification</t>
        </is>
      </c>
    </row>
    <row r="30" ht="17.5" customHeight="1">
      <c r="A30" s="36" t="inlineStr">
        <is>
          <t>Store Associate</t>
        </is>
      </c>
      <c r="B30" s="36" t="inlineStr">
        <is>
          <t>AI-assisted styling</t>
        </is>
      </c>
      <c r="C30" s="36" t="inlineStr">
        <is>
          <t>AI Stylist 101</t>
        </is>
      </c>
      <c r="D30" s="36" t="inlineStr">
        <is>
          <t>4h self-paced</t>
        </is>
      </c>
      <c r="E30" s="36" t="inlineStr">
        <is>
          <t>Digital Badge</t>
        </is>
      </c>
    </row>
    <row r="31" ht="17.5" customHeight="1">
      <c r="A31" s="36" t="inlineStr">
        <is>
          <t>Merchant Planner</t>
        </is>
      </c>
      <c r="B31" s="36" t="inlineStr">
        <is>
          <t>Forecasting with AI</t>
        </is>
      </c>
      <c r="C31" s="36" t="inlineStr">
        <is>
          <t>Demand AI Pro</t>
        </is>
      </c>
      <c r="D31" s="36" t="inlineStr">
        <is>
          <t>2-day workshop</t>
        </is>
      </c>
      <c r="E31" s="36" t="inlineStr">
        <is>
          <t>Exam</t>
        </is>
      </c>
    </row>
    <row r="32" ht="17.5" customHeight="1">
      <c r="A32" s="36" t="inlineStr">
        <is>
          <t>Data Scientist</t>
        </is>
      </c>
      <c r="B32" s="36" t="inlineStr">
        <is>
          <t>Fashion domain knowledge</t>
        </is>
      </c>
      <c r="C32" s="36" t="inlineStr">
        <is>
          <t>Apparel 360</t>
        </is>
      </c>
      <c r="D32" s="36" t="inlineStr">
        <is>
          <t>1-day bootcamp</t>
        </is>
      </c>
      <c r="E32" s="36" t="inlineStr">
        <is>
          <t>Certificate</t>
        </is>
      </c>
    </row>
    <row r="33" ht="17.5" customHeight="1">
      <c r="A33" s="36" t="inlineStr">
        <is>
          <t>Customer Support</t>
        </is>
      </c>
      <c r="B33" s="36" t="inlineStr">
        <is>
          <t>AI copilot chat</t>
        </is>
      </c>
      <c r="C33" s="36" t="inlineStr">
        <is>
          <t>SuperAgent AI</t>
        </is>
      </c>
      <c r="D33" s="36" t="inlineStr">
        <is>
          <t>3h webinar</t>
        </is>
      </c>
      <c r="E33" s="36" t="inlineStr">
        <is>
          <t>Badge</t>
        </is>
      </c>
    </row>
    <row r="34" ht="17.5" customHeight="1">
      <c r="A34" s="36" t="inlineStr">
        <is>
          <t>E. Resistance Management Plan</t>
        </is>
      </c>
    </row>
    <row r="35" ht="17.5" customHeight="1">
      <c r="A35" s="36" t="inlineStr">
        <is>
          <t>Expected Resistance</t>
        </is>
      </c>
      <c r="B35" s="36" t="inlineStr">
        <is>
          <t>Root Cause</t>
        </is>
      </c>
      <c r="C35" s="36" t="inlineStr">
        <is>
          <t>Mitigation Tactic</t>
        </is>
      </c>
      <c r="D35" s="36" t="inlineStr">
        <is>
          <t>Owner</t>
        </is>
      </c>
      <c r="E35" s="36" t="inlineStr">
        <is>
          <t>Timeline</t>
        </is>
      </c>
    </row>
    <row r="36" ht="31" customHeight="1">
      <c r="A36" s="36" t="inlineStr">
        <is>
          <t>Fear of job loss</t>
        </is>
      </c>
      <c r="B36" s="36" t="inlineStr">
        <is>
          <t>Automation anxiety</t>
        </is>
      </c>
      <c r="C36" s="36" t="inlineStr">
        <is>
          <t>Emphasize augmentation, show success stories</t>
        </is>
      </c>
      <c r="D36" s="36" t="inlineStr">
        <is>
          <t>HR</t>
        </is>
      </c>
      <c r="E36" s="36" t="inlineStr">
        <is>
          <t>Ongoing</t>
        </is>
      </c>
    </row>
    <row r="37" ht="31" customHeight="1">
      <c r="A37" s="36" t="inlineStr">
        <is>
          <t>Trust in AI recommendations</t>
        </is>
      </c>
      <c r="B37" s="36" t="inlineStr">
        <is>
          <t>Black-box perception</t>
        </is>
      </c>
      <c r="C37" s="36" t="inlineStr">
        <is>
          <t>Provide explainable AI dashboards</t>
        </is>
      </c>
      <c r="D37" s="36" t="inlineStr">
        <is>
          <t>Data Science</t>
        </is>
      </c>
      <c r="E37" s="36" t="inlineStr">
        <is>
          <t>Month 2</t>
        </is>
      </c>
    </row>
    <row r="38" ht="17.5" customHeight="1">
      <c r="A38" s="36" t="inlineStr">
        <is>
          <t>Data privacy concerns</t>
        </is>
      </c>
      <c r="B38" s="36" t="inlineStr">
        <is>
          <t>Customer data usage</t>
        </is>
      </c>
      <c r="C38" s="36" t="inlineStr">
        <is>
          <t>Clear policy &amp; training</t>
        </is>
      </c>
      <c r="D38" s="36" t="inlineStr">
        <is>
          <t>Legal</t>
        </is>
      </c>
      <c r="E38" s="36" t="inlineStr">
        <is>
          <t>Month 1</t>
        </is>
      </c>
    </row>
    <row r="39" ht="31" customHeight="1">
      <c r="A39" s="36" t="inlineStr">
        <is>
          <t>Skill shortage</t>
        </is>
      </c>
      <c r="B39" s="36" t="inlineStr">
        <is>
          <t>Limited AI expertise</t>
        </is>
      </c>
      <c r="C39" s="36" t="inlineStr">
        <is>
          <t>Intensive upskilling &amp; mentoring</t>
        </is>
      </c>
      <c r="D39" s="36" t="inlineStr">
        <is>
          <t>L&amp;D</t>
        </is>
      </c>
      <c r="E39" s="36" t="inlineStr">
        <is>
          <t>Months 1-6</t>
        </is>
      </c>
    </row>
    <row r="40" ht="17.5" customHeight="1">
      <c r="A40" s="36" t="inlineStr">
        <is>
          <t>F. Success Metrics &amp; Monitoring</t>
        </is>
      </c>
    </row>
    <row r="41" ht="17.5" customHeight="1">
      <c r="A41" s="36" t="inlineStr">
        <is>
          <t>Metric Category</t>
        </is>
      </c>
      <c r="B41" s="36" t="inlineStr">
        <is>
          <t>KPI</t>
        </is>
      </c>
      <c r="C41" s="36" t="inlineStr">
        <is>
          <t>Baseline</t>
        </is>
      </c>
      <c r="D41" s="36" t="inlineStr">
        <is>
          <t>Target</t>
        </is>
      </c>
      <c r="E41" s="36" t="inlineStr">
        <is>
          <t>Frequency</t>
        </is>
      </c>
      <c r="F41" s="36" t="inlineStr">
        <is>
          <t>Owner</t>
        </is>
      </c>
    </row>
    <row r="42" ht="31" customHeight="1">
      <c r="A42" s="36" t="inlineStr">
        <is>
          <t>Adoption</t>
        </is>
      </c>
      <c r="B42" s="36" t="inlineStr">
        <is>
          <t>% Employees using AI tools daily</t>
        </is>
      </c>
      <c r="C42" s="36" t="inlineStr">
        <is>
          <t>0%</t>
        </is>
      </c>
      <c r="D42" s="36" t="inlineStr">
        <is>
          <t>85%</t>
        </is>
      </c>
      <c r="E42" s="36" t="inlineStr">
        <is>
          <t>Monthly</t>
        </is>
      </c>
      <c r="F42" s="36" t="inlineStr">
        <is>
          <t>PMO</t>
        </is>
      </c>
    </row>
    <row r="43" ht="17.5" customHeight="1">
      <c r="A43" s="36" t="inlineStr">
        <is>
          <t>Performance</t>
        </is>
      </c>
      <c r="B43" s="36" t="inlineStr">
        <is>
          <t>Online conversion uplift</t>
        </is>
      </c>
      <c r="C43" s="36" t="inlineStr">
        <is>
          <t>2.3%</t>
        </is>
      </c>
      <c r="D43" s="36" t="inlineStr">
        <is>
          <t>2.9%</t>
        </is>
      </c>
      <c r="E43" s="36" t="inlineStr">
        <is>
          <t>Monthly</t>
        </is>
      </c>
      <c r="F43" s="36" t="inlineStr">
        <is>
          <t>E-com Analytics</t>
        </is>
      </c>
    </row>
    <row r="44" ht="17.5" customHeight="1">
      <c r="A44" s="36" t="inlineStr">
        <is>
          <t>Efficiency</t>
        </is>
      </c>
      <c r="B44" s="36" t="inlineStr">
        <is>
          <t>Forecast accuracy</t>
        </is>
      </c>
      <c r="C44" s="36" t="inlineStr">
        <is>
          <t>60%</t>
        </is>
      </c>
      <c r="D44" s="36" t="inlineStr">
        <is>
          <t>80%</t>
        </is>
      </c>
      <c r="E44" s="36" t="inlineStr">
        <is>
          <t>Quarterly</t>
        </is>
      </c>
      <c r="F44" s="36" t="inlineStr">
        <is>
          <t>Merch Ops</t>
        </is>
      </c>
    </row>
    <row r="45" ht="17.5" customHeight="1">
      <c r="A45" s="36" t="inlineStr">
        <is>
          <t>Satisfaction</t>
        </is>
      </c>
      <c r="B45" s="36" t="inlineStr">
        <is>
          <t>Employee NPS</t>
        </is>
      </c>
      <c r="C45" s="36" t="inlineStr">
        <is>
          <t>45</t>
        </is>
      </c>
      <c r="D45" s="36" t="inlineStr">
        <is>
          <t>65</t>
        </is>
      </c>
      <c r="E45" s="36" t="inlineStr">
        <is>
          <t>Quarterly</t>
        </is>
      </c>
      <c r="F45" s="36" t="inlineStr">
        <is>
          <t>HR</t>
        </is>
      </c>
    </row>
    <row r="46" ht="17.5" customHeight="1">
      <c r="A46" s="36" t="inlineStr">
        <is>
          <t>ROI</t>
        </is>
      </c>
      <c r="B46" s="36" t="inlineStr">
        <is>
          <t>Net benefit vs. cost</t>
        </is>
      </c>
      <c r="C46" s="36" t="inlineStr">
        <is>
          <t>0</t>
        </is>
      </c>
      <c r="D46" s="36" t="inlineStr">
        <is>
          <t>+25% Year 1</t>
        </is>
      </c>
      <c r="E46" s="36" t="inlineStr">
        <is>
          <t>Quarterly</t>
        </is>
      </c>
      <c r="F46" s="36" t="inlineStr">
        <is>
          <t>CFO</t>
        </is>
      </c>
    </row>
    <row r="47" ht="17.5" customHeight="1">
      <c r="A47" s="36" t="inlineStr">
        <is>
          <t>Dashboard:</t>
        </is>
      </c>
    </row>
    <row r="48" ht="31" customHeight="1">
      <c r="A48" s="36" t="inlineStr">
        <is>
          <t xml:space="preserve"> Use Power BI to visualize adoption, conversion, and NPS trends.</t>
        </is>
      </c>
    </row>
    <row r="49" ht="17.5" customHeight="1">
      <c r="A49" s="36" t="inlineStr">
        <is>
          <t>G. Change Adoption Timeline (Gantt Overview)</t>
        </is>
      </c>
    </row>
    <row r="50" ht="17.5" customHeight="1">
      <c r="A50" s="36" t="inlineStr">
        <is>
          <t>Phase</t>
        </is>
      </c>
      <c r="B50" s="36" t="inlineStr">
        <is>
          <t>Month 1</t>
        </is>
      </c>
      <c r="C50" s="36" t="inlineStr">
        <is>
          <t>Month 2</t>
        </is>
      </c>
      <c r="D50" s="36" t="inlineStr">
        <is>
          <t>Month 3</t>
        </is>
      </c>
      <c r="E50" s="36" t="inlineStr">
        <is>
          <t>Month 4</t>
        </is>
      </c>
      <c r="F50" s="36" t="inlineStr">
        <is>
          <t>Month 5-6</t>
        </is>
      </c>
    </row>
    <row r="51" ht="17.5" customHeight="1">
      <c r="A51" s="36" t="inlineStr">
        <is>
          <t>Vision &amp; kick-off</t>
        </is>
      </c>
      <c r="B51" s="36" t="inlineStr">
        <is>
          <t>■</t>
        </is>
      </c>
    </row>
    <row r="52" ht="17.5" customHeight="1">
      <c r="A52" s="36" t="inlineStr">
        <is>
          <t>Pilot setup</t>
        </is>
      </c>
      <c r="B52" s="36" t="inlineStr">
        <is>
          <t>■</t>
        </is>
      </c>
      <c r="C52" s="36" t="inlineStr">
        <is>
          <t>■</t>
        </is>
      </c>
    </row>
    <row r="53" ht="17.5" customHeight="1">
      <c r="A53" s="36" t="inlineStr">
        <is>
          <t>Training wave 1</t>
        </is>
      </c>
      <c r="B53" s="36" t="inlineStr"/>
      <c r="C53" s="36" t="inlineStr">
        <is>
          <t>■</t>
        </is>
      </c>
      <c r="D53" s="36" t="inlineStr">
        <is>
          <t>■</t>
        </is>
      </c>
    </row>
    <row r="54" ht="17.5" customHeight="1">
      <c r="A54" s="36" t="inlineStr">
        <is>
          <t>Pilot run</t>
        </is>
      </c>
      <c r="B54" s="36" t="inlineStr"/>
      <c r="C54" s="36" t="inlineStr">
        <is>
          <t>■</t>
        </is>
      </c>
      <c r="D54" s="36" t="inlineStr">
        <is>
          <t>■</t>
        </is>
      </c>
    </row>
    <row r="55" ht="17.5" customHeight="1">
      <c r="A55" s="36" t="inlineStr">
        <is>
          <t>Scale decision</t>
        </is>
      </c>
      <c r="B55" s="36" t="inlineStr"/>
      <c r="C55" s="36" t="inlineStr"/>
      <c r="D55" s="36" t="inlineStr">
        <is>
          <t>■</t>
        </is>
      </c>
    </row>
    <row r="56" ht="17.5" customHeight="1">
      <c r="A56" s="36" t="inlineStr">
        <is>
          <t>Enterprise rollout</t>
        </is>
      </c>
      <c r="B56" s="36" t="inlineStr"/>
      <c r="C56" s="36" t="inlineStr"/>
      <c r="D56" s="36" t="inlineStr"/>
      <c r="E56" s="36" t="inlineStr">
        <is>
          <t>■</t>
        </is>
      </c>
      <c r="F56" s="36" t="inlineStr">
        <is>
          <t>■</t>
        </is>
      </c>
    </row>
    <row r="57" ht="17.5" customHeight="1">
      <c r="A57" s="36" t="inlineStr">
        <is>
          <t>Reinforcement &amp; optimization</t>
        </is>
      </c>
      <c r="B57" s="36" t="inlineStr"/>
      <c r="C57" s="36" t="inlineStr"/>
      <c r="D57" s="36" t="inlineStr"/>
      <c r="E57" s="36" t="inlineStr">
        <is>
          <t>■</t>
        </is>
      </c>
      <c r="F57" s="36" t="inlineStr">
        <is>
          <t>■</t>
        </is>
      </c>
    </row>
    <row r="58" ht="17.5" customHeight="1">
      <c r="A58" s="36" t="inlineStr">
        <is>
          <t>Legend: ■ = activity active; □ = prep</t>
        </is>
      </c>
    </row>
    <row r="59" ht="17.5" customHeight="1">
      <c r="A59" s="36" t="inlineStr">
        <is>
          <t>H. Change Leader’s Checklist (Weekly)</t>
        </is>
      </c>
    </row>
    <row r="60" ht="17.5" customHeight="1">
      <c r="A60" s="36" t="inlineStr">
        <is>
          <t>Review ADKAR scores with team</t>
        </is>
      </c>
    </row>
    <row r="61" ht="17.5" customHeight="1">
      <c r="A61" s="36" t="inlineStr">
        <is>
          <t>Check stakeholder engagement status</t>
        </is>
      </c>
    </row>
    <row r="62" ht="17.5" customHeight="1">
      <c r="A62" s="36" t="inlineStr">
        <is>
          <t>Track KPI dashboard updates</t>
        </is>
      </c>
    </row>
    <row r="63" ht="17.5" customHeight="1">
      <c r="A63" s="36" t="inlineStr">
        <is>
          <t>Address new resistance signals</t>
        </is>
      </c>
    </row>
    <row r="64" ht="17.5" customHeight="1">
      <c r="A64" s="36" t="inlineStr">
        <is>
          <t>Celebrate quick wins publicly</t>
        </is>
      </c>
    </row>
    <row r="65" ht="17.5" customHeight="1">
      <c r="A65" s="36" t="inlineStr">
        <is>
          <t>Adjust comms &amp; training schedules</t>
        </is>
      </c>
    </row>
    <row r="66" ht="17.5" customHeight="1">
      <c r="A66" s="36" t="inlineStr">
        <is>
          <t>Escalate blockers to steering committee</t>
        </is>
      </c>
    </row>
    <row r="67" ht="58" customHeight="1">
      <c r="A67" s="36" t="inlineStr">
        <is>
          <t>This toolkit should be tailored for each major GenAI initiative. Use the templates provided, update weekly, and share progress with the executive steering committee.</t>
        </is>
      </c>
    </row>
  </sheetData>
  <pageMargins left="0.75" right="0.75" top="1" bottom="1" header="0.5" footer="0.5"/>
  <pageSetup orientation="landscape" fitToWidth="1"/>
</worksheet>
</file>

<file path=xl/worksheets/sheet13.xml><?xml version="1.0" encoding="utf-8"?>
<worksheet xmlns="http://schemas.openxmlformats.org/spreadsheetml/2006/main">
  <sheetPr>
    <tabColor rgb="009A9086"/>
    <outlinePr summaryBelow="1" summaryRight="1"/>
    <pageSetUpPr fitToPage="1"/>
  </sheetPr>
  <dimension ref="A1:G19"/>
  <sheetViews>
    <sheetView showGridLines="1" workbookViewId="0">
      <pane ySplit="1" topLeftCell="A2" activePane="bottomLeft" state="frozen"/>
      <selection pane="bottomLeft" activeCell="A1" sqref="A1"/>
    </sheetView>
  </sheetViews>
  <sheetFormatPr baseColWidth="8" defaultRowHeight="15"/>
  <cols>
    <col width="52" customWidth="1" min="1" max="1"/>
    <col width="30" customWidth="1" min="2" max="2"/>
    <col width="30" customWidth="1" min="3" max="3"/>
    <col width="30" customWidth="1" min="4" max="4"/>
    <col width="30" customWidth="1" min="5" max="5"/>
    <col width="30" customWidth="1" min="6" max="6"/>
    <col width="30" customWidth="1" min="7" max="7"/>
  </cols>
  <sheetData>
    <row r="1" ht="17.5" customHeight="1">
      <c r="A1" s="35" t="inlineStr">
        <is>
          <t>AI ADOPTION IMPLEMENTATION ROADMAP - ENHANCED</t>
        </is>
      </c>
    </row>
    <row r="2" ht="17.5" customHeight="1">
      <c r="A2" s="36" t="inlineStr">
        <is>
          <t>PHASE</t>
        </is>
      </c>
      <c r="B2" s="36" t="inlineStr">
        <is>
          <t>QUARTER</t>
        </is>
      </c>
      <c r="C2" s="36" t="inlineStr">
        <is>
          <t>PEOPLE INITIATIVES</t>
        </is>
      </c>
      <c r="D2" s="36" t="inlineStr">
        <is>
          <t>PROCESS INITIATIVES</t>
        </is>
      </c>
      <c r="E2" s="36" t="inlineStr">
        <is>
          <t>TECHNOLOGY INITIATIVES</t>
        </is>
      </c>
      <c r="F2" s="36" t="inlineStr">
        <is>
          <t>RESPONSIBLE AI INITIATIVES</t>
        </is>
      </c>
      <c r="G2" s="36" t="inlineStr">
        <is>
          <t>CHANGE MGMT INITIATIVES</t>
        </is>
      </c>
    </row>
    <row r="3" ht="44.5" customHeight="1">
      <c r="A3" s="36" t="inlineStr">
        <is>
          <t>Foundation</t>
        </is>
      </c>
      <c r="B3" s="36" t="inlineStr">
        <is>
          <t>Q1 2026</t>
        </is>
      </c>
      <c r="C3" s="36" t="inlineStr">
        <is>
          <t>Awareness training, skill assessment, leadership alignment, CoE charter planning</t>
        </is>
      </c>
      <c r="D3" s="36" t="inlineStr">
        <is>
          <t>Decision tree development, governance setup, risk framework, ethics board formation</t>
        </is>
      </c>
      <c r="E3" s="36" t="inlineStr">
        <is>
          <t>Cloud setup, security audit, infrastructure planning, monitoring design</t>
        </is>
      </c>
      <c r="F3" s="36" t="inlineStr">
        <is>
          <t>Fairness/XAI tools selected, ethics policy drafted, responsible AI principles defined</t>
        </is>
      </c>
      <c r="G3" s="36" t="inlineStr">
        <is>
          <t>Champions identified, incentive program designed, comms cadence launched, pulse surveys begin</t>
        </is>
      </c>
    </row>
    <row r="4" ht="44.5" customHeight="1">
      <c r="A4" s="36" t="inlineStr">
        <is>
          <t>Build</t>
        </is>
      </c>
      <c r="B4" s="36" t="inlineStr">
        <is>
          <t>Q2 2026</t>
        </is>
      </c>
      <c r="C4" s="36" t="inlineStr">
        <is>
          <t>Upskilling programs, mentoring setup, culture initiatives, CoE hiring, 3-tier training paths</t>
        </is>
      </c>
      <c r="D4" s="36" t="inlineStr">
        <is>
          <t>Process documentation, data governance implementation, ethics review workflow</t>
        </is>
      </c>
      <c r="E4" s="36" t="inlineStr">
        <is>
          <t>Data warehouse design, ML platform selection, MLOps setup, drift detection designed</t>
        </is>
      </c>
      <c r="F4" s="36" t="inlineStr">
        <is>
          <t>Bias testing methodology documented, XAI tools deployed, compliance mapping completed, PIA process live</t>
        </is>
      </c>
      <c r="G4" s="36" t="inlineStr">
        <is>
          <t>Champions onboarded, adoption metrics dashboard live, town halls monthly, incentive system active</t>
        </is>
      </c>
    </row>
    <row r="5" ht="44.5" customHeight="1">
      <c r="A5" s="36" t="inlineStr">
        <is>
          <t>Pilot</t>
        </is>
      </c>
      <c r="B5" s="36" t="inlineStr">
        <is>
          <t>Q3 2026</t>
        </is>
      </c>
      <c r="C5" s="36" t="inlineStr">
        <is>
          <t>Team training on tools, change management execution, mentoring at scale, engagement tracking</t>
        </is>
      </c>
      <c r="D5" s="36" t="inlineStr">
        <is>
          <t>Implement governance policies, ethics review process live, data quality ops active, continuous improvement</t>
        </is>
      </c>
      <c r="E5" s="36" t="inlineStr">
        <is>
          <t>Deploy selected platforms, integrate systems, set up monitoring, drift detection live, model cards implemented</t>
        </is>
      </c>
      <c r="F5" s="36" t="inlineStr">
        <is>
          <t>70% of models tested for fairness, explainability integrated in 3+ use cases, audit trail active, zero violations</t>
        </is>
      </c>
      <c r="G5" s="36" t="inlineStr">
        <is>
          <t>User adoption 60%, CSAT 4.2+, monthly success story series, ambassador network 50+ active, feedback loops closing</t>
        </is>
      </c>
    </row>
    <row r="6" ht="58" customHeight="1">
      <c r="A6" s="36" t="inlineStr">
        <is>
          <t>Scale</t>
        </is>
      </c>
      <c r="B6" s="36" t="inlineStr">
        <is>
          <t>Q4 2026</t>
        </is>
      </c>
      <c r="C6" s="36" t="inlineStr">
        <is>
          <t>Expand programs, build center of excellence fully, hire AI talent, knowledge sharing platform live, 90% adoption</t>
        </is>
      </c>
      <c r="D6" s="36" t="inlineStr">
        <is>
          <t>Scale operations, optimize processes continuously, automated governance where possible, process time &lt;8 days</t>
        </is>
      </c>
      <c r="E6" s="36" t="inlineStr">
        <is>
          <t>Scale infrastructure 3x, expand ML capabilities, production deployment at scale, cost optimization, 99%+ uptime</t>
        </is>
      </c>
      <c r="F6" s="36" t="inlineStr">
        <is>
          <t>100% model coverage for drift/fairness, regulatory compliance achieved, continuous monitoring, zero violations</t>
        </is>
      </c>
      <c r="G6" s="36" t="inlineStr">
        <is>
          <t>75%+ company-wide adoption, NPS &gt;65, innovation culture embedded, 100+ champions, user feedback drives roadmap</t>
        </is>
      </c>
    </row>
    <row r="7" ht="58" customHeight="1">
      <c r="A7" s="36" t="inlineStr">
        <is>
          <t>Optimize</t>
        </is>
      </c>
      <c r="B7" s="36" t="inlineStr">
        <is>
          <t>2027</t>
        </is>
      </c>
      <c r="C7" s="36" t="inlineStr">
        <is>
          <t>Continuous learning, knowledge sharing, innovation labs, emerging tech exploration, AI embedded in all roles</t>
        </is>
      </c>
      <c r="D7" s="36" t="inlineStr">
        <is>
          <t>Continuous improvement, process optimization, governance maturity (self-service approvals), industry benchmarking</t>
        </is>
      </c>
      <c r="E7" s="36" t="inlineStr">
        <is>
          <t>Advanced analytics, AI-driven insights, full automation, cost per prediction optimized, cutting-edge infrastructure</t>
        </is>
      </c>
      <c r="F7" s="36" t="inlineStr">
        <is>
          <t>Advanced responsible AI (federated learning, synthetic data), continuous bias monitoring, regulatory leadership, thought leadership</t>
        </is>
      </c>
      <c r="G7" s="36" t="inlineStr">
        <is>
          <t>AI as business-as-usual, internal marketplace for models, customer-facing AI products, startup partnerships</t>
        </is>
      </c>
    </row>
    <row r="8" ht="17.5" customHeight="1">
      <c r="A8" s="36" t="inlineStr">
        <is>
          <t>TOTAL INVESTMENT 2026</t>
        </is>
      </c>
      <c r="B8" s="36" t="inlineStr"/>
      <c r="C8" s="36" t="inlineStr"/>
      <c r="D8" s="36" t="inlineStr"/>
      <c r="E8" s="36" t="inlineStr"/>
      <c r="F8" s="36" t="inlineStr"/>
      <c r="G8" s="36" t="inlineStr"/>
    </row>
    <row r="9" ht="17.5" customHeight="1">
      <c r="A9" s="36" t="inlineStr">
        <is>
          <t>EXPECTED ROI 2026-2027</t>
        </is>
      </c>
      <c r="B9" s="36" t="inlineStr"/>
      <c r="C9" s="36" t="inlineStr"/>
      <c r="D9" s="36" t="inlineStr"/>
      <c r="E9" s="36" t="inlineStr"/>
      <c r="F9" s="36" t="inlineStr"/>
      <c r="G9" s="36" t="inlineStr"/>
    </row>
    <row r="10" ht="17.5" customHeight="1">
      <c r="A10" s="36" t="inlineStr">
        <is>
          <t>CRITICAL SUCCESS FACTORS</t>
        </is>
      </c>
    </row>
    <row r="11" ht="17.5" customHeight="1">
      <c r="A11" s="36" t="inlineStr">
        <is>
          <t>Factor</t>
        </is>
      </c>
      <c r="B11" s="36" t="inlineStr">
        <is>
          <t>Owner</t>
        </is>
      </c>
      <c r="C11" s="36" t="inlineStr">
        <is>
          <t>Q1 Completion</t>
        </is>
      </c>
      <c r="D11" s="36" t="inlineStr">
        <is>
          <t>Q2 Completion</t>
        </is>
      </c>
      <c r="E11" s="36" t="inlineStr">
        <is>
          <t>Q3 Completion</t>
        </is>
      </c>
      <c r="F11" s="36" t="inlineStr">
        <is>
          <t>Q4 Completion</t>
        </is>
      </c>
      <c r="G11" s="36" t="inlineStr">
        <is>
          <t>Status</t>
        </is>
      </c>
    </row>
    <row r="12" ht="17.5" customHeight="1">
      <c r="A12" s="36" t="inlineStr">
        <is>
          <t>Executive Sponsorship</t>
        </is>
      </c>
      <c r="B12" s="36" t="inlineStr">
        <is>
          <t>CEO/COO</t>
        </is>
      </c>
      <c r="C12" s="36" t="inlineStr">
        <is>
          <t>100% aligned</t>
        </is>
      </c>
      <c r="D12" s="36" t="inlineStr">
        <is>
          <t>Active leadership</t>
        </is>
      </c>
      <c r="E12" s="36" t="inlineStr">
        <is>
          <t>Weekly reviews</t>
        </is>
      </c>
      <c r="F12" s="36" t="inlineStr">
        <is>
          <t>Strategic ownership</t>
        </is>
      </c>
      <c r="G12" s="36" t="inlineStr">
        <is>
          <t>In Progress</t>
        </is>
      </c>
    </row>
    <row r="13" ht="17.5" customHeight="1">
      <c r="A13" s="36" t="inlineStr">
        <is>
          <t>Governance Effectiveness</t>
        </is>
      </c>
      <c r="B13" s="36" t="inlineStr">
        <is>
          <t>CIO</t>
        </is>
      </c>
      <c r="C13" s="36" t="inlineStr">
        <is>
          <t>Committee operational</t>
        </is>
      </c>
      <c r="D13" s="36" t="inlineStr">
        <is>
          <t>4+ decisions made</t>
        </is>
      </c>
      <c r="E13" s="36" t="inlineStr">
        <is>
          <t>Escalation process tested</t>
        </is>
      </c>
      <c r="F13" s="36" t="inlineStr">
        <is>
          <t>Fully autonomous</t>
        </is>
      </c>
      <c r="G13" s="36" t="inlineStr">
        <is>
          <t>In Progress</t>
        </is>
      </c>
    </row>
    <row r="14" ht="17.5" customHeight="1">
      <c r="A14" s="36" t="inlineStr">
        <is>
          <t>Data Quality</t>
        </is>
      </c>
      <c r="B14" s="36" t="inlineStr">
        <is>
          <t>CDO</t>
        </is>
      </c>
      <c r="C14" s="36" t="inlineStr">
        <is>
          <t>&gt;75%</t>
        </is>
      </c>
      <c r="D14" s="36" t="inlineStr">
        <is>
          <t>&gt;85%</t>
        </is>
      </c>
      <c r="E14" s="36" t="inlineStr">
        <is>
          <t>&gt;95%</t>
        </is>
      </c>
      <c r="F14" s="36" t="inlineStr">
        <is>
          <t>98%+</t>
        </is>
      </c>
      <c r="G14" s="36" t="inlineStr">
        <is>
          <t>In Progress</t>
        </is>
      </c>
    </row>
    <row r="15" ht="17.5" customHeight="1">
      <c r="A15" s="36" t="inlineStr">
        <is>
          <t>Skill Development</t>
        </is>
      </c>
      <c r="B15" s="36" t="inlineStr">
        <is>
          <t>HR Lead</t>
        </is>
      </c>
      <c r="C15" s="36" t="inlineStr">
        <is>
          <t>30% in training</t>
        </is>
      </c>
      <c r="D15" s="36" t="inlineStr">
        <is>
          <t>50% certified</t>
        </is>
      </c>
      <c r="E15" s="36" t="inlineStr">
        <is>
          <t>75% certified</t>
        </is>
      </c>
      <c r="F15" s="36" t="inlineStr">
        <is>
          <t>90% certified</t>
        </is>
      </c>
      <c r="G15" s="36" t="inlineStr">
        <is>
          <t>In Planning</t>
        </is>
      </c>
    </row>
    <row r="16" ht="17.5" customHeight="1">
      <c r="A16" s="36" t="inlineStr">
        <is>
          <t>Responsible AI Compliance</t>
        </is>
      </c>
      <c r="B16" s="36" t="inlineStr">
        <is>
          <t>Legal/Ethics</t>
        </is>
      </c>
      <c r="C16" s="36" t="inlineStr">
        <is>
          <t>Board formed, policy drafted</t>
        </is>
      </c>
      <c r="D16" s="36" t="inlineStr">
        <is>
          <t>Fairness testing &gt;20%</t>
        </is>
      </c>
      <c r="E16" s="36" t="inlineStr">
        <is>
          <t>70% models reviewed</t>
        </is>
      </c>
      <c r="F16" s="36" t="inlineStr">
        <is>
          <t>100% models compliant</t>
        </is>
      </c>
      <c r="G16" s="36" t="inlineStr">
        <is>
          <t>In Planning</t>
        </is>
      </c>
    </row>
    <row r="17" ht="17.5" customHeight="1">
      <c r="A17" s="36" t="inlineStr">
        <is>
          <t>Use Case Momentum</t>
        </is>
      </c>
      <c r="B17" s="36" t="inlineStr">
        <is>
          <t>Program Lead</t>
        </is>
      </c>
      <c r="C17" s="36" t="inlineStr">
        <is>
          <t>2 quick wins approved</t>
        </is>
      </c>
      <c r="D17" s="36" t="inlineStr">
        <is>
          <t>Models 50% complete</t>
        </is>
      </c>
      <c r="E17" s="36" t="inlineStr">
        <is>
          <t>4 models in production</t>
        </is>
      </c>
      <c r="F17" s="36" t="inlineStr">
        <is>
          <t>8 models live</t>
        </is>
      </c>
      <c r="G17" s="36" t="inlineStr">
        <is>
          <t>In Planning</t>
        </is>
      </c>
    </row>
    <row r="18" ht="17.5" customHeight="1">
      <c r="A18" s="36" t="inlineStr">
        <is>
          <t>Adoption &amp; Change</t>
        </is>
      </c>
      <c r="B18" s="36" t="inlineStr">
        <is>
          <t>Change Manager</t>
        </is>
      </c>
      <c r="C18" s="36" t="inlineStr">
        <is>
          <t>40% awareness</t>
        </is>
      </c>
      <c r="D18" s="36" t="inlineStr">
        <is>
          <t>40% adoption</t>
        </is>
      </c>
      <c r="E18" s="36" t="inlineStr">
        <is>
          <t>60% adoption</t>
        </is>
      </c>
      <c r="F18" s="36" t="inlineStr">
        <is>
          <t>75% adoption</t>
        </is>
      </c>
      <c r="G18" s="36" t="inlineStr">
        <is>
          <t>In Planning</t>
        </is>
      </c>
    </row>
    <row r="19" ht="17.5" customHeight="1">
      <c r="A19" s="36" t="inlineStr">
        <is>
          <t>Infrastructure Readiness</t>
        </is>
      </c>
      <c r="B19" s="36" t="inlineStr">
        <is>
          <t>IT Lead</t>
        </is>
      </c>
      <c r="C19" s="36" t="inlineStr">
        <is>
          <t>Cloud approved</t>
        </is>
      </c>
      <c r="D19" s="36" t="inlineStr">
        <is>
          <t>DW designed</t>
        </is>
      </c>
      <c r="E19" s="36" t="inlineStr">
        <is>
          <t>Platforms live</t>
        </is>
      </c>
      <c r="F19" s="36" t="inlineStr">
        <is>
          <t>Scaled 3x</t>
        </is>
      </c>
      <c r="G19" s="36" t="inlineStr">
        <is>
          <t>In Planning</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2026-10-30T06:07:39Z</dcterms:created>
  <dcterms:modified xmlns:dcterms="http://purl.org/dc/terms/" xmlns:xsi="http://www.w3.org/2001/XMLSchema-instance" xsi:type="dcterms:W3CDTF">2026-10-30T06:07:39Z</dcterms:modified>
</cp:coreProperties>
</file>